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51860" windowHeight="26400" tabRatio="500" firstSheet="0" activeTab="2" autoFilterDateGrouping="1"/>
  </bookViews>
  <sheets>
    <sheet xmlns:r="http://schemas.openxmlformats.org/officeDocument/2006/relationships" name="최종견적" sheetId="1" state="visible" r:id="rId1"/>
    <sheet xmlns:r="http://schemas.openxmlformats.org/officeDocument/2006/relationships" name="상세기능" sheetId="2" state="visible" r:id="rId2"/>
    <sheet xmlns:r="http://schemas.openxmlformats.org/officeDocument/2006/relationships" name="상세비용" sheetId="3" state="visible" r:id="rId3"/>
    <sheet xmlns:r="http://schemas.openxmlformats.org/officeDocument/2006/relationships" name="(참조)보정계수" sheetId="4" state="visible" r:id="rId4"/>
  </sheets>
  <definedNames>
    <definedName name="☞_기능점수__산정방법_선택">상세기능!#REF!</definedName>
    <definedName name="기능점수방법선택">상세기능!#REF!</definedName>
    <definedName name="FP방법선택" localSheetId="1">상세기능!#REF!</definedName>
    <definedName name="_xlnm.Print_Titles" localSheetId="1">'상세기능'!$2:$4</definedName>
    <definedName name="_xlnm.Print_Area" localSheetId="1">'상세기능'!$B$1:$H$67</definedName>
    <definedName name="_xlnm.Print_Area" localSheetId="2">'상세비용'!$A$1:$L$45</definedName>
  </definedNames>
  <calcPr calcId="124519" fullCalcOnLoad="1"/>
</workbook>
</file>

<file path=xl/styles.xml><?xml version="1.0" encoding="utf-8"?>
<styleSheet xmlns="http://schemas.openxmlformats.org/spreadsheetml/2006/main">
  <numFmts count="28">
    <numFmt numFmtId="164" formatCode="_-* #,##0.0_-;\-* #,##0.0_-;_-* \-_-;_-@_-"/>
    <numFmt numFmtId="165" formatCode="0.0000_ "/>
    <numFmt numFmtId="166" formatCode="0.00_ "/>
    <numFmt numFmtId="167" formatCode="#,##0.000_);[Red]\(#,##0.000\)"/>
    <numFmt numFmtId="168" formatCode="#,##0.0_);[Red]\(#,##0.0\)"/>
    <numFmt numFmtId="169" formatCode="_-* #,##0_-;\-* #,##0_-;_-* \-_-;_-@_-"/>
    <numFmt numFmtId="170" formatCode="0_ "/>
    <numFmt numFmtId="171" formatCode="0.0_ "/>
    <numFmt numFmtId="172" formatCode="#,##0_ "/>
    <numFmt numFmtId="173" formatCode="\$#,##0_);[Red]&quot;($&quot;#,##0\)"/>
    <numFmt numFmtId="174" formatCode="_ &quot;SFr.&quot;* #,##0.00_ ;_ &quot;SFr.&quot;* \-#,##0.00_ ;_ &quot;SFr.&quot;* \-??_ ;_ @_ "/>
    <numFmt numFmtId="175" formatCode="\₩#,##0.00;&quot;₩-&quot;#,##0.00"/>
    <numFmt numFmtId="176" formatCode="#,##0.00&quot;  &quot;"/>
    <numFmt numFmtId="177" formatCode="#,##0.0\ "/>
    <numFmt numFmtId="178" formatCode="&quot;S &quot;#,##0.00;&quot;-S &quot;#,##0.00"/>
    <numFmt numFmtId="179" formatCode="0.00000%"/>
    <numFmt numFmtId="180" formatCode="\₩#,##0;[Red]&quot;₩-&quot;#,##0"/>
    <numFmt numFmtId="181" formatCode="yyyy\-mm\-dd\ hh:mm:ss\.ss"/>
    <numFmt numFmtId="182" formatCode="#,##0&quot;  &quot;"/>
    <numFmt numFmtId="183" formatCode="#,##0.00\ "/>
    <numFmt numFmtId="184" formatCode="\₩#,##0;&quot;₩₩₩₩-&quot;#,##0"/>
    <numFmt numFmtId="185" formatCode="_(* #,##0_);_(* \(#,##0\);_(* \-_);_(@_)"/>
    <numFmt numFmtId="186" formatCode="\₩#,##0;[Red]&quot;₩₩₩₩-&quot;#,##0"/>
    <numFmt numFmtId="187" formatCode="_ * #,##0_ ;_ * \-#,##0_ ;_ * \-_ ;_ @_ "/>
    <numFmt numFmtId="188" formatCode="#,###"/>
    <numFmt numFmtId="189" formatCode="\₩#,##0;&quot;-₩&quot;#,##0"/>
    <numFmt numFmtId="190" formatCode="###,###,"/>
    <numFmt numFmtId="191" formatCode="\₩#,##0.00;&quot;₩₩₩₩-&quot;#,##0.00"/>
  </numFmts>
  <fonts count="62">
    <font>
      <name val="굴림체"/>
      <charset val="129"/>
      <family val="3"/>
      <color theme="1"/>
      <sz val="11"/>
    </font>
    <font>
      <name val="바탕체"/>
      <charset val="129"/>
      <family val="1"/>
      <sz val="12"/>
    </font>
    <font>
      <name val="Arial"/>
      <charset val="1"/>
      <family val="2"/>
      <sz val="10"/>
    </font>
    <font>
      <name val="MS Sans Serif"/>
      <charset val="1"/>
      <family val="2"/>
      <sz val="10"/>
    </font>
    <font>
      <name val="돋움"/>
      <charset val="129"/>
      <family val="3"/>
      <sz val="11"/>
    </font>
    <font>
      <name val="Arial"/>
      <charset val="1"/>
      <family val="2"/>
      <b val="1"/>
      <sz val="10"/>
    </font>
    <font>
      <name val="Courier New"/>
      <charset val="1"/>
      <family val="3"/>
      <color rgb="FF000000"/>
      <sz val="1"/>
    </font>
    <font>
      <name val="Times New Roman"/>
      <charset val="1"/>
      <family val="1"/>
      <sz val="10"/>
    </font>
    <font>
      <name val="System"/>
      <charset val="129"/>
      <family val="2"/>
      <sz val="12"/>
    </font>
    <font>
      <name val="¹UAAA¼"/>
      <charset val="129"/>
      <family val="3"/>
      <sz val="12"/>
    </font>
    <font>
      <name val="Arial"/>
      <charset val="1"/>
      <family val="2"/>
      <sz val="8"/>
    </font>
    <font>
      <name val="Arial"/>
      <charset val="1"/>
      <family val="2"/>
      <b val="1"/>
      <sz val="12"/>
    </font>
    <font>
      <name val="Arial"/>
      <charset val="1"/>
      <family val="2"/>
      <b val="1"/>
      <sz val="18"/>
    </font>
    <font>
      <name val="바탕체"/>
      <charset val="129"/>
      <family val="1"/>
      <sz val="9"/>
    </font>
    <font>
      <name val="Arial"/>
      <charset val="1"/>
      <family val="2"/>
      <b val="1"/>
      <sz val="11"/>
    </font>
    <font>
      <name val="Times New Roman"/>
      <charset val="1"/>
      <family val="1"/>
      <sz val="12"/>
    </font>
    <font>
      <name val="Courier New"/>
      <charset val="1"/>
      <family val="3"/>
      <b val="1"/>
      <color rgb="FF000000"/>
      <sz val="1"/>
    </font>
    <font>
      <name val="돋움"/>
      <charset val="129"/>
      <family val="3"/>
      <color rgb="FF800080"/>
      <sz val="11"/>
      <u val="single"/>
    </font>
    <font>
      <name val="뼻뮝"/>
      <charset val="129"/>
      <family val="3"/>
      <sz val="12"/>
    </font>
    <font>
      <name val="굴림체"/>
      <charset val="129"/>
      <family val="3"/>
      <b val="1"/>
      <color rgb="FF800000"/>
      <sz val="12"/>
    </font>
    <font>
      <name val="명조"/>
      <charset val="129"/>
      <family val="3"/>
      <sz val="10"/>
    </font>
    <font>
      <name val="돋움체"/>
      <charset val="129"/>
      <family val="3"/>
      <b val="1"/>
      <sz val="16"/>
    </font>
    <font>
      <name val="맑은 고딕"/>
      <charset val="129"/>
      <family val="3"/>
      <color rgb="FF006100"/>
      <sz val="11"/>
    </font>
    <font>
      <name val="굴림"/>
      <charset val="129"/>
      <family val="3"/>
      <color rgb="FF006100"/>
      <sz val="10"/>
    </font>
    <font>
      <name val="굴림체"/>
      <charset val="129"/>
      <family val="3"/>
      <sz val="11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sz val="12"/>
    </font>
    <font>
      <name val="맑은 고딕"/>
      <charset val="129"/>
      <family val="3"/>
      <sz val="11"/>
    </font>
    <font>
      <name val="Noto Sans CJK SC"/>
      <charset val="1"/>
      <family val="2"/>
      <b val="1"/>
      <color rgb="FF000000"/>
      <sz val="10"/>
    </font>
    <font>
      <name val="맑은 고딕"/>
      <charset val="129"/>
      <family val="3"/>
      <color rgb="FF9C6500"/>
      <sz val="10"/>
    </font>
    <font>
      <name val="Noto Sans CJK SC"/>
      <charset val="1"/>
      <family val="2"/>
      <color rgb="FF9C6500"/>
      <sz val="10"/>
    </font>
    <font>
      <name val="맑은 고딕"/>
      <charset val="129"/>
      <family val="3"/>
      <color rgb="FF9C65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sz val="10"/>
    </font>
    <font>
      <name val="Noto Sans CJK SC"/>
      <charset val="1"/>
      <family val="2"/>
      <sz val="10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color rgb="FF000000"/>
      <sz val="7"/>
    </font>
    <font>
      <name val="맑은 고딕"/>
      <charset val="129"/>
      <family val="3"/>
      <color rgb="FF000000"/>
      <sz val="8"/>
    </font>
    <font>
      <name val="Noto Sans CJK SC"/>
      <charset val="1"/>
      <family val="2"/>
      <b val="1"/>
      <color rgb="FF0000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sz val="8"/>
    </font>
    <font>
      <name val="Noto Sans CJK SC"/>
      <charset val="1"/>
      <family val="2"/>
      <b val="1"/>
      <sz val="11"/>
    </font>
    <font>
      <name val="Noto Sans CJK SC"/>
      <charset val="1"/>
      <family val="2"/>
      <b val="1"/>
      <sz val="10"/>
    </font>
    <font>
      <name val="Noto Sans CJK SC"/>
      <charset val="1"/>
      <family val="2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sz val="11"/>
    </font>
    <font>
      <name val="Noto Sans CJK SC"/>
      <charset val="1"/>
      <family val="2"/>
      <sz val="12"/>
    </font>
    <font>
      <name val="맑은 고딕"/>
      <charset val="129"/>
      <family val="3"/>
      <color rgb="FF000000"/>
      <sz val="11"/>
    </font>
    <font>
      <name val="굴림체"/>
      <charset val="129"/>
      <family val="3"/>
      <color theme="1"/>
      <sz val="9"/>
    </font>
    <font>
      <name val="굴림체"/>
      <charset val="129"/>
      <family val="3"/>
      <b val="1"/>
      <color theme="1"/>
      <sz val="11"/>
    </font>
    <font>
      <name val="굴림체"/>
      <charset val="129"/>
      <family val="3"/>
      <color rgb="FFFF0000"/>
      <sz val="11"/>
    </font>
    <font>
      <name val="맑은 고딕"/>
      <charset val="129"/>
      <family val="2"/>
      <b val="1"/>
      <sz val="12"/>
    </font>
    <font>
      <name val="맑은 고딕"/>
      <charset val="129"/>
      <family val="2"/>
      <sz val="9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006100"/>
      <sz val="12"/>
    </font>
    <font>
      <name val="굴림체"/>
      <charset val="129"/>
      <family val="3"/>
      <color theme="1"/>
      <sz val="11"/>
    </font>
    <font>
      <name val="맑은 고딕"/>
      <charset val="129"/>
      <family val="3"/>
      <b val="1"/>
      <color rgb="FF006100"/>
      <sz val="12"/>
    </font>
    <font>
      <name val="맑은 고딕"/>
      <charset val="129"/>
      <family val="2"/>
      <b val="1"/>
      <color rgb="FF000000"/>
      <sz val="9"/>
    </font>
    <font>
      <name val="맑은 고딕"/>
      <charset val="129"/>
      <family val="2"/>
      <color rgb="FF000000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E6B9B8"/>
      </patternFill>
    </fill>
    <fill>
      <patternFill patternType="solid">
        <fgColor rgb="FFFFFFCC"/>
        <bgColor rgb="FFFFFFFF"/>
      </patternFill>
    </fill>
    <fill>
      <patternFill patternType="solid">
        <fgColor rgb="FFC6EFCE"/>
        <bgColor rgb="FFCCFFCC"/>
      </patternFill>
    </fill>
    <fill>
      <patternFill patternType="solid">
        <fgColor rgb="FFFFEB9C"/>
        <bgColor rgb="FFFFFF99"/>
      </patternFill>
    </fill>
    <fill>
      <patternFill patternType="solid">
        <fgColor rgb="FFFFFF99"/>
        <bgColor rgb="FFFFEB9C"/>
      </patternFill>
    </fill>
    <fill>
      <patternFill patternType="solid">
        <fgColor rgb="FFFFCC66"/>
        <bgColor rgb="FFFCD5B5"/>
      </patternFill>
    </fill>
    <fill>
      <patternFill patternType="solid">
        <fgColor rgb="FFFFFFFF"/>
        <bgColor rgb="FFFFFFCC"/>
      </patternFill>
    </fill>
    <fill>
      <patternFill patternType="solid">
        <fgColor theme="9" tint="0.5998718222602009"/>
        <bgColor rgb="FFFFEB9C"/>
      </patternFill>
    </fill>
    <fill>
      <patternFill patternType="solid">
        <fgColor rgb="FFCCFFCC"/>
        <bgColor rgb="FFC6EFCE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</fills>
  <borders count="9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BBBBB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133">
    <xf numFmtId="0" fontId="58" fillId="0" borderId="0" applyAlignment="1">
      <alignment vertical="center"/>
    </xf>
    <xf numFmtId="9" fontId="58" fillId="0" borderId="0" applyAlignment="1">
      <alignment vertical="center"/>
    </xf>
    <xf numFmtId="173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3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4" fillId="0" borderId="0" applyAlignment="1">
      <alignment vertical="center"/>
    </xf>
    <xf numFmtId="0" fontId="5" fillId="0" borderId="0"/>
    <xf numFmtId="174" fontId="1" fillId="0" borderId="0"/>
    <xf numFmtId="3" fontId="58" fillId="0" borderId="0" applyAlignment="1">
      <alignment vertical="center"/>
    </xf>
    <xf numFmtId="0" fontId="58" fillId="0" borderId="0" applyAlignment="1">
      <alignment vertical="center"/>
    </xf>
    <xf numFmtId="175" fontId="58" fillId="0" borderId="0" applyAlignment="1">
      <alignment vertical="center"/>
    </xf>
    <xf numFmtId="0" fontId="7" fillId="0" borderId="0"/>
    <xf numFmtId="0" fontId="8" fillId="0" borderId="0"/>
    <xf numFmtId="0" fontId="9" fillId="0" borderId="0"/>
    <xf numFmtId="175" fontId="4" fillId="0" borderId="0" applyProtection="1">
      <protection locked="0" hidden="0"/>
    </xf>
    <xf numFmtId="176" fontId="58" fillId="0" borderId="0" applyAlignment="1">
      <alignment vertical="center"/>
    </xf>
    <xf numFmtId="177" fontId="58" fillId="0" borderId="0" applyAlignment="1">
      <alignment vertical="center"/>
    </xf>
    <xf numFmtId="178" fontId="1" fillId="0" borderId="0"/>
    <xf numFmtId="179" fontId="4" fillId="0" borderId="0" applyProtection="1">
      <protection locked="0" hidden="0"/>
    </xf>
    <xf numFmtId="0" fontId="10" fillId="2" borderId="0" applyAlignment="1">
      <alignment vertical="center"/>
    </xf>
    <xf numFmtId="0" fontId="11" fillId="0" borderId="0" applyAlignment="1">
      <alignment horizontal="left"/>
    </xf>
    <xf numFmtId="0" fontId="11" fillId="0" borderId="1" applyAlignment="1">
      <alignment vertical="center"/>
    </xf>
    <xf numFmtId="0" fontId="11" fillId="0" borderId="2" applyAlignment="1">
      <alignment horizontal="left" vertical="center"/>
    </xf>
    <xf numFmtId="0" fontId="12" fillId="0" borderId="0" applyAlignment="1">
      <alignment vertical="center"/>
    </xf>
    <xf numFmtId="180" fontId="4" fillId="0" borderId="0" applyProtection="1">
      <protection locked="0" hidden="0"/>
    </xf>
    <xf numFmtId="0" fontId="11" fillId="0" borderId="0" applyAlignment="1">
      <alignment vertical="center"/>
    </xf>
    <xf numFmtId="180" fontId="4" fillId="0" borderId="0" applyProtection="1">
      <protection locked="0" hidden="0"/>
    </xf>
    <xf numFmtId="0" fontId="10" fillId="3" borderId="0" applyAlignment="1">
      <alignment vertical="center"/>
    </xf>
    <xf numFmtId="0" fontId="13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4" fillId="0" borderId="3"/>
    <xf numFmtId="0" fontId="58" fillId="0" borderId="0" applyAlignment="1">
      <alignment vertical="center"/>
    </xf>
    <xf numFmtId="0" fontId="58" fillId="0" borderId="0" applyAlignment="1">
      <alignment vertical="center"/>
    </xf>
    <xf numFmtId="181" fontId="1" fillId="0" borderId="0"/>
    <xf numFmtId="10" fontId="58" fillId="0" borderId="0" applyAlignment="1">
      <alignment vertical="center"/>
    </xf>
    <xf numFmtId="0" fontId="2" fillId="0" borderId="0"/>
    <xf numFmtId="0" fontId="14" fillId="0" borderId="0"/>
    <xf numFmtId="180" fontId="4" fillId="0" borderId="4" applyProtection="1">
      <protection locked="0" hidden="0"/>
    </xf>
    <xf numFmtId="182" fontId="58" fillId="0" borderId="0" applyAlignment="1">
      <alignment vertical="center"/>
    </xf>
    <xf numFmtId="183" fontId="58" fillId="0" borderId="0" applyAlignment="1">
      <alignment vertical="center"/>
    </xf>
    <xf numFmtId="0" fontId="15" fillId="0" borderId="0"/>
    <xf numFmtId="184" fontId="1" fillId="0" borderId="0" applyProtection="1">
      <protection locked="0" hidden="0"/>
    </xf>
    <xf numFmtId="0" fontId="16" fillId="0" borderId="0" applyProtection="1">
      <protection locked="0" hidden="0"/>
    </xf>
    <xf numFmtId="0" fontId="1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17" fillId="0" borderId="0" applyAlignment="1">
      <alignment vertical="center"/>
    </xf>
    <xf numFmtId="40" fontId="58" fillId="0" borderId="0" applyAlignment="1">
      <alignment vertical="center"/>
    </xf>
    <xf numFmtId="38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9" fontId="58" fillId="0" borderId="0" applyAlignment="1">
      <alignment vertical="center"/>
    </xf>
    <xf numFmtId="0" fontId="18" fillId="0" borderId="0"/>
    <xf numFmtId="38" fontId="19" fillId="0" borderId="0" applyAlignment="1">
      <alignment vertical="center"/>
    </xf>
    <xf numFmtId="169" fontId="58" fillId="0" borderId="0" applyAlignment="1">
      <alignment vertical="center"/>
    </xf>
    <xf numFmtId="169" fontId="58" fillId="0" borderId="0" applyAlignment="1">
      <alignment vertical="center"/>
    </xf>
    <xf numFmtId="169" fontId="58" fillId="0" borderId="0" applyAlignment="1">
      <alignment vertical="center"/>
    </xf>
    <xf numFmtId="185" fontId="58" fillId="0" borderId="0" applyAlignment="1">
      <alignment vertical="center"/>
    </xf>
    <xf numFmtId="169" fontId="58" fillId="0" borderId="0" applyAlignment="1">
      <alignment vertical="center"/>
    </xf>
    <xf numFmtId="0" fontId="2" fillId="0" borderId="0"/>
    <xf numFmtId="0" fontId="1" fillId="0" borderId="0"/>
    <xf numFmtId="0" fontId="20" fillId="0" borderId="5"/>
    <xf numFmtId="37" fontId="58" fillId="0" borderId="0" applyAlignment="1">
      <alignment vertical="center"/>
    </xf>
    <xf numFmtId="4" fontId="6" fillId="0" borderId="0" applyProtection="1">
      <protection locked="0" hidden="0"/>
    </xf>
    <xf numFmtId="186" fontId="1" fillId="0" borderId="0" applyProtection="1">
      <protection locked="0" hidden="0"/>
    </xf>
    <xf numFmtId="187" fontId="21" fillId="0" borderId="0" applyAlignment="1">
      <alignment vertical="center"/>
    </xf>
    <xf numFmtId="0" fontId="1" fillId="0" borderId="6" applyAlignment="1">
      <alignment horizontal="distributed" vertical="center"/>
    </xf>
    <xf numFmtId="0" fontId="1" fillId="0" borderId="7" applyAlignment="1">
      <alignment horizontal="distributed" vertical="top"/>
    </xf>
    <xf numFmtId="0" fontId="1" fillId="0" borderId="8" applyAlignment="1">
      <alignment horizontal="distributed"/>
    </xf>
    <xf numFmtId="0" fontId="22" fillId="4" borderId="0" applyAlignment="1">
      <alignment vertical="center"/>
    </xf>
    <xf numFmtId="0" fontId="23" fillId="4" borderId="0" applyAlignment="1">
      <alignment vertical="center"/>
    </xf>
    <xf numFmtId="0" fontId="22" fillId="4" borderId="0" applyAlignment="1">
      <alignment vertical="center"/>
    </xf>
    <xf numFmtId="0" fontId="1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188" fontId="4" fillId="0" borderId="0" applyProtection="1">
      <protection locked="0" hidden="0"/>
    </xf>
    <xf numFmtId="0" fontId="58" fillId="0" borderId="0" applyAlignment="1">
      <alignment vertical="center"/>
    </xf>
    <xf numFmtId="0" fontId="4" fillId="0" borderId="0"/>
    <xf numFmtId="0" fontId="2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vertical="center"/>
    </xf>
    <xf numFmtId="0" fontId="25" fillId="0" borderId="0" applyAlignment="1">
      <alignment vertical="center"/>
    </xf>
    <xf numFmtId="0" fontId="24" fillId="0" borderId="0"/>
    <xf numFmtId="0" fontId="58" fillId="0" borderId="0" applyAlignment="1">
      <alignment vertical="center"/>
    </xf>
    <xf numFmtId="0" fontId="24" fillId="0" borderId="0"/>
    <xf numFmtId="0" fontId="58" fillId="0" borderId="0" applyAlignment="1">
      <alignment vertical="center"/>
    </xf>
    <xf numFmtId="0" fontId="4" fillId="0" borderId="0"/>
    <xf numFmtId="189" fontId="4" fillId="0" borderId="0"/>
    <xf numFmtId="0" fontId="6" fillId="0" borderId="9" applyProtection="1">
      <protection locked="0" hidden="0"/>
    </xf>
    <xf numFmtId="190" fontId="4" fillId="0" borderId="0" applyProtection="1">
      <protection locked="0" hidden="0"/>
    </xf>
    <xf numFmtId="191" fontId="1" fillId="0" borderId="0" applyProtection="1">
      <protection locked="0" hidden="0"/>
    </xf>
    <xf numFmtId="0" fontId="31" fillId="5" borderId="0" applyAlignment="1">
      <alignment vertical="center"/>
    </xf>
    <xf numFmtId="169" fontId="58" fillId="0" borderId="0" applyAlignment="1">
      <alignment vertical="center"/>
    </xf>
  </cellStyleXfs>
  <cellXfs count="199">
    <xf numFmtId="0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6" borderId="11" applyAlignment="1" pivotButton="0" quotePrefix="0" xfId="0">
      <alignment horizontal="center" vertical="center" wrapText="1"/>
    </xf>
    <xf numFmtId="0" fontId="29" fillId="5" borderId="12" applyAlignment="1" pivotButton="0" quotePrefix="0" xfId="0">
      <alignment horizontal="center" vertical="center" wrapText="1"/>
    </xf>
    <xf numFmtId="0" fontId="28" fillId="6" borderId="13" applyAlignment="1" pivotButton="0" quotePrefix="0" xfId="0">
      <alignment horizontal="center" vertical="center" wrapText="1"/>
    </xf>
    <xf numFmtId="0" fontId="28" fillId="6" borderId="14" applyAlignment="1" pivotButton="0" quotePrefix="0" xfId="0">
      <alignment horizontal="center" vertical="center" wrapText="1" shrinkToFit="1"/>
    </xf>
    <xf numFmtId="0" fontId="28" fillId="6" borderId="15" applyAlignment="1" pivotButton="0" quotePrefix="0" xfId="0">
      <alignment horizontal="center" vertical="center" wrapText="1" shrinkToFit="1"/>
    </xf>
    <xf numFmtId="0" fontId="32" fillId="6" borderId="16" applyAlignment="1" pivotButton="0" quotePrefix="0" xfId="0">
      <alignment horizontal="center" vertical="center" wrapText="1"/>
    </xf>
    <xf numFmtId="0" fontId="30" fillId="5" borderId="17" applyAlignment="1" pivotButton="0" quotePrefix="0" xfId="0">
      <alignment horizontal="center" vertical="center" wrapText="1"/>
    </xf>
    <xf numFmtId="0" fontId="24" fillId="8" borderId="0" applyAlignment="1" pivotButton="0" quotePrefix="0" xfId="0">
      <alignment vertical="center"/>
    </xf>
    <xf numFmtId="164" fontId="33" fillId="0" borderId="6" applyAlignment="1" applyProtection="1" pivotButton="0" quotePrefix="0" xfId="0">
      <alignment vertical="center"/>
      <protection locked="0" hidden="0"/>
    </xf>
    <xf numFmtId="0" fontId="35" fillId="0" borderId="19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20" applyAlignment="1" pivotButton="0" quotePrefix="0" xfId="0">
      <alignment horizontal="right" vertical="center"/>
    </xf>
    <xf numFmtId="0" fontId="37" fillId="0" borderId="19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27" fillId="0" borderId="20" applyAlignment="1" pivotButton="0" quotePrefix="0" xfId="0">
      <alignment vertical="center"/>
    </xf>
    <xf numFmtId="0" fontId="38" fillId="0" borderId="19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0" fillId="0" borderId="20" applyAlignment="1" pivotButton="0" quotePrefix="0" xfId="0">
      <alignment horizontal="center" vertical="center"/>
    </xf>
    <xf numFmtId="0" fontId="41" fillId="6" borderId="25" applyAlignment="1" pivotButton="0" quotePrefix="0" xfId="0">
      <alignment horizontal="center" vertical="center" wrapText="1"/>
    </xf>
    <xf numFmtId="0" fontId="42" fillId="6" borderId="25" applyAlignment="1" pivotButton="0" quotePrefix="0" xfId="0">
      <alignment horizontal="center" vertical="center" wrapText="1"/>
    </xf>
    <xf numFmtId="165" fontId="27" fillId="0" borderId="25" applyAlignment="1" pivotButton="0" quotePrefix="0" xfId="0">
      <alignment horizontal="right" vertical="center"/>
    </xf>
    <xf numFmtId="166" fontId="27" fillId="0" borderId="25" applyAlignment="1" pivotButton="0" quotePrefix="0" xfId="0">
      <alignment horizontal="right" vertical="center"/>
    </xf>
    <xf numFmtId="2" fontId="27" fillId="0" borderId="25" applyAlignment="1" pivotButton="0" quotePrefix="0" xfId="0">
      <alignment horizontal="right" vertical="center"/>
    </xf>
    <xf numFmtId="167" fontId="27" fillId="0" borderId="25" applyAlignment="1" pivotButton="0" quotePrefix="0" xfId="0">
      <alignment horizontal="right" vertical="center"/>
    </xf>
    <xf numFmtId="168" fontId="27" fillId="0" borderId="29" applyAlignment="1" pivotButton="0" quotePrefix="0" xfId="0">
      <alignment vertical="center"/>
    </xf>
    <xf numFmtId="9" fontId="27" fillId="9" borderId="2" applyAlignment="1" applyProtection="1" pivotButton="0" quotePrefix="0" xfId="101">
      <alignment horizontal="center" vertical="center"/>
      <protection locked="0" hidden="0"/>
    </xf>
    <xf numFmtId="169" fontId="45" fillId="0" borderId="5" applyAlignment="1" pivotButton="0" quotePrefix="0" xfId="101">
      <alignment vertical="center"/>
    </xf>
    <xf numFmtId="169" fontId="46" fillId="2" borderId="29" applyAlignment="1" pivotButton="0" quotePrefix="0" xfId="101">
      <alignment vertical="center"/>
    </xf>
    <xf numFmtId="0" fontId="37" fillId="0" borderId="20" applyAlignment="1" pivotButton="0" quotePrefix="0" xfId="0">
      <alignment horizontal="right" vertical="center"/>
    </xf>
    <xf numFmtId="0" fontId="41" fillId="0" borderId="19" applyAlignment="1" pivotButton="0" quotePrefix="0" xfId="0">
      <alignment vertical="center"/>
    </xf>
    <xf numFmtId="0" fontId="27" fillId="0" borderId="19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49" fillId="0" borderId="0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0" fontId="37" fillId="0" borderId="36" applyAlignment="1" pivotButton="0" quotePrefix="0" xfId="0">
      <alignment vertical="center"/>
    </xf>
    <xf numFmtId="0" fontId="37" fillId="0" borderId="37" applyAlignment="1" pivotButton="0" quotePrefix="0" xfId="0">
      <alignment vertical="center"/>
    </xf>
    <xf numFmtId="0" fontId="40" fillId="0" borderId="37" applyAlignment="1" pivotButton="0" quotePrefix="0" xfId="0">
      <alignment vertical="center"/>
    </xf>
    <xf numFmtId="0" fontId="40" fillId="0" borderId="38" applyAlignment="1" pivotButton="0" quotePrefix="0" xfId="0">
      <alignment vertical="center"/>
    </xf>
    <xf numFmtId="0" fontId="50" fillId="0" borderId="19" applyAlignment="1" pivotButton="0" quotePrefix="0" xfId="0">
      <alignment vertical="center"/>
    </xf>
    <xf numFmtId="0" fontId="50" fillId="0" borderId="0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41" fillId="6" borderId="39" applyAlignment="1" pivotButton="0" quotePrefix="0" xfId="0">
      <alignment horizontal="center" vertical="center"/>
    </xf>
    <xf numFmtId="0" fontId="46" fillId="6" borderId="40" applyAlignment="1" pivotButton="0" quotePrefix="0" xfId="0">
      <alignment horizontal="center" vertical="center"/>
    </xf>
    <xf numFmtId="0" fontId="46" fillId="6" borderId="6" applyAlignment="1" pivotButton="0" quotePrefix="0" xfId="0">
      <alignment horizontal="center" vertical="center"/>
    </xf>
    <xf numFmtId="49" fontId="43" fillId="0" borderId="39" applyAlignment="1" pivotButton="0" quotePrefix="0" xfId="0">
      <alignment horizontal="center" vertical="center" wrapText="1"/>
    </xf>
    <xf numFmtId="49" fontId="27" fillId="0" borderId="40" applyAlignment="1" pivotButton="0" quotePrefix="0" xfId="0">
      <alignment horizontal="center" vertical="center" wrapText="1"/>
    </xf>
    <xf numFmtId="170" fontId="27" fillId="0" borderId="6" applyAlignment="1" pivotButton="0" quotePrefix="0" xfId="0">
      <alignment horizontal="right" vertical="center" wrapText="1"/>
    </xf>
    <xf numFmtId="171" fontId="27" fillId="0" borderId="6" applyAlignment="1" pivotButton="0" quotePrefix="0" xfId="0">
      <alignment horizontal="right" vertical="center" wrapText="1"/>
    </xf>
    <xf numFmtId="0" fontId="43" fillId="0" borderId="39" applyAlignment="1" pivotButton="0" quotePrefix="0" xfId="123">
      <alignment horizontal="center" vertical="center"/>
    </xf>
    <xf numFmtId="0" fontId="27" fillId="0" borderId="40" applyAlignment="1" pivotButton="0" quotePrefix="0" xfId="123">
      <alignment horizontal="center"/>
    </xf>
    <xf numFmtId="9" fontId="27" fillId="0" borderId="6" applyAlignment="1" pivotButton="0" quotePrefix="0" xfId="97">
      <alignment vertical="center" wrapText="1"/>
    </xf>
    <xf numFmtId="0" fontId="51" fillId="0" borderId="4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35" fillId="6" borderId="44" applyAlignment="1" pivotButton="0" quotePrefix="0" xfId="0">
      <alignment vertical="center"/>
    </xf>
    <xf numFmtId="0" fontId="35" fillId="6" borderId="45" applyAlignment="1" pivotButton="0" quotePrefix="0" xfId="0">
      <alignment vertical="center"/>
    </xf>
    <xf numFmtId="0" fontId="35" fillId="6" borderId="46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41" fillId="6" borderId="47" applyAlignment="1" pivotButton="0" quotePrefix="0" xfId="0">
      <alignment horizontal="center" vertical="center"/>
    </xf>
    <xf numFmtId="40" fontId="27" fillId="0" borderId="49" applyAlignment="1" pivotButton="0" quotePrefix="0" xfId="0">
      <alignment horizontal="center" vertical="center" wrapText="1"/>
    </xf>
    <xf numFmtId="40" fontId="27" fillId="0" borderId="35" applyAlignment="1" pivotButton="0" quotePrefix="0" xfId="0">
      <alignment horizontal="center" vertical="center" wrapText="1"/>
    </xf>
    <xf numFmtId="40" fontId="27" fillId="0" borderId="53" applyAlignment="1" pivotButton="0" quotePrefix="0" xfId="0">
      <alignment horizontal="center" vertical="center" wrapText="1"/>
    </xf>
    <xf numFmtId="40" fontId="27" fillId="0" borderId="47" applyAlignment="1" pivotButton="0" quotePrefix="0" xfId="0">
      <alignment horizontal="center" vertical="center" wrapText="1"/>
    </xf>
    <xf numFmtId="0" fontId="0" fillId="0" borderId="42" applyAlignment="1" pivotButton="0" quotePrefix="0" xfId="0">
      <alignment vertical="center"/>
    </xf>
    <xf numFmtId="0" fontId="53" fillId="0" borderId="0" applyAlignment="1" pivotButton="0" quotePrefix="0" xfId="0">
      <alignment horizontal="right"/>
    </xf>
    <xf numFmtId="0" fontId="0" fillId="0" borderId="0" pivotButton="0" quotePrefix="0" xfId="0"/>
    <xf numFmtId="164" fontId="33" fillId="14" borderId="6" applyAlignment="1" pivotButton="0" quotePrefix="0" xfId="0">
      <alignment vertical="center"/>
    </xf>
    <xf numFmtId="168" fontId="33" fillId="0" borderId="50" applyAlignment="1" pivotButton="0" quotePrefix="0" xfId="0">
      <alignment horizontal="left" vertical="center" wrapText="1"/>
    </xf>
    <xf numFmtId="168" fontId="33" fillId="0" borderId="25" applyAlignment="1" pivotButton="0" quotePrefix="0" xfId="0">
      <alignment horizontal="left" vertical="center" wrapText="1"/>
    </xf>
    <xf numFmtId="168" fontId="33" fillId="0" borderId="22" applyAlignment="1" pivotButton="0" quotePrefix="0" xfId="0">
      <alignment horizontal="left" vertical="center" wrapText="1"/>
    </xf>
    <xf numFmtId="168" fontId="33" fillId="0" borderId="52" applyAlignment="1" pivotButton="0" quotePrefix="0" xfId="0">
      <alignment horizontal="left" vertical="center" wrapText="1"/>
    </xf>
    <xf numFmtId="0" fontId="41" fillId="6" borderId="22" applyAlignment="1" pivotButton="0" quotePrefix="0" xfId="0">
      <alignment horizontal="center" vertical="center"/>
    </xf>
    <xf numFmtId="0" fontId="61" fillId="0" borderId="74" applyAlignment="1" pivotButton="0" quotePrefix="0" xfId="0">
      <alignment horizontal="left" vertical="center" wrapText="1"/>
    </xf>
    <xf numFmtId="0" fontId="61" fillId="0" borderId="74" applyAlignment="1" pivotButton="0" quotePrefix="0" xfId="0">
      <alignment horizontal="center" vertical="center" wrapText="1"/>
    </xf>
    <xf numFmtId="164" fontId="33" fillId="0" borderId="6" applyAlignment="1" pivotButton="0" quotePrefix="0" xfId="0">
      <alignment vertical="center"/>
    </xf>
    <xf numFmtId="0" fontId="61" fillId="14" borderId="74" applyAlignment="1" pivotButton="0" quotePrefix="0" xfId="0">
      <alignment horizontal="left" vertical="center" wrapText="1"/>
    </xf>
    <xf numFmtId="0" fontId="61" fillId="14" borderId="74" applyAlignment="1" pivotButton="0" quotePrefix="0" xfId="0">
      <alignment horizontal="center" vertical="center" wrapText="1"/>
    </xf>
    <xf numFmtId="0" fontId="57" fillId="13" borderId="6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55" fillId="0" borderId="68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0" pivotButton="0" quotePrefix="0" xfId="0"/>
    <xf numFmtId="3" fontId="57" fillId="13" borderId="69" applyAlignment="1" pivotButton="0" quotePrefix="0" xfId="0">
      <alignment horizontal="right" vertical="center"/>
    </xf>
    <xf numFmtId="0" fontId="59" fillId="13" borderId="6" applyAlignment="1" pivotButton="0" quotePrefix="0" xfId="0">
      <alignment horizontal="center" vertical="center"/>
    </xf>
    <xf numFmtId="0" fontId="0" fillId="0" borderId="6" pivotButton="0" quotePrefix="0" xfId="0"/>
    <xf numFmtId="0" fontId="55" fillId="0" borderId="6" applyAlignment="1" pivotButton="0" quotePrefix="0" xfId="0">
      <alignment horizontal="center" vertical="center" wrapText="1"/>
    </xf>
    <xf numFmtId="3" fontId="55" fillId="0" borderId="68" applyAlignment="1" pivotButton="0" quotePrefix="0" xfId="0">
      <alignment horizontal="right" vertical="center"/>
    </xf>
    <xf numFmtId="3" fontId="56" fillId="12" borderId="68" applyAlignment="1" pivotButton="0" quotePrefix="0" xfId="0">
      <alignment horizontal="right" vertical="center"/>
    </xf>
    <xf numFmtId="3" fontId="57" fillId="13" borderId="6" applyAlignment="1" pivotButton="0" quotePrefix="0" xfId="0">
      <alignment horizontal="right" vertical="center"/>
    </xf>
    <xf numFmtId="0" fontId="52" fillId="0" borderId="0" pivotButton="0" quotePrefix="0" xfId="0"/>
    <xf numFmtId="0" fontId="0" fillId="0" borderId="0" applyAlignment="1" pivotButton="0" quotePrefix="0" xfId="0">
      <alignment vertical="center"/>
    </xf>
    <xf numFmtId="0" fontId="54" fillId="11" borderId="68" applyAlignment="1" pivotButton="0" quotePrefix="0" xfId="0">
      <alignment horizontal="center" vertical="center"/>
    </xf>
    <xf numFmtId="0" fontId="56" fillId="12" borderId="68" applyAlignment="1" pivotButton="0" quotePrefix="0" xfId="0">
      <alignment horizontal="center" vertical="center"/>
    </xf>
    <xf numFmtId="3" fontId="55" fillId="0" borderId="6" applyAlignment="1" pivotButton="0" quotePrefix="0" xfId="0">
      <alignment horizontal="right" vertical="center"/>
    </xf>
    <xf numFmtId="0" fontId="54" fillId="11" borderId="6" applyAlignment="1" pivotButton="0" quotePrefix="0" xfId="0">
      <alignment horizontal="center" vertical="center"/>
    </xf>
    <xf numFmtId="0" fontId="56" fillId="12" borderId="6" applyAlignment="1" pivotButton="0" quotePrefix="0" xfId="0">
      <alignment horizontal="center" vertical="center"/>
    </xf>
    <xf numFmtId="3" fontId="56" fillId="12" borderId="6" applyAlignment="1" pivotButton="0" quotePrefix="0" xfId="0">
      <alignment horizontal="right" vertical="center"/>
    </xf>
    <xf numFmtId="0" fontId="60" fillId="0" borderId="74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61" fillId="0" borderId="74" applyAlignment="1" pivotButton="0" quotePrefix="0" xfId="0">
      <alignment horizontal="left" vertical="center" wrapText="1"/>
    </xf>
    <xf numFmtId="0" fontId="60" fillId="14" borderId="74" applyAlignment="1" pivotButton="0" quotePrefix="0" xfId="0">
      <alignment horizontal="center" vertical="center" wrapText="1"/>
    </xf>
    <xf numFmtId="0" fontId="0" fillId="14" borderId="75" pivotButton="0" quotePrefix="0" xfId="0"/>
    <xf numFmtId="0" fontId="0" fillId="14" borderId="76" pivotButton="0" quotePrefix="0" xfId="0"/>
    <xf numFmtId="0" fontId="61" fillId="14" borderId="74" applyAlignment="1" pivotButton="0" quotePrefix="0" xfId="0">
      <alignment horizontal="left" vertical="center" wrapText="1"/>
    </xf>
    <xf numFmtId="0" fontId="30" fillId="7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28" fillId="6" borderId="10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1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0" pivotButton="0" quotePrefix="0" xfId="0"/>
    <xf numFmtId="171" fontId="27" fillId="10" borderId="4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2" pivotButton="0" quotePrefix="0" xfId="0"/>
    <xf numFmtId="0" fontId="41" fillId="0" borderId="34" applyAlignment="1" pivotButton="0" quotePrefix="0" xfId="0">
      <alignment horizontal="center" vertical="center"/>
    </xf>
    <xf numFmtId="169" fontId="47" fillId="6" borderId="22" applyAlignment="1" pivotButton="0" quotePrefix="0" xfId="101">
      <alignment horizontal="center" vertical="center"/>
    </xf>
    <xf numFmtId="0" fontId="0" fillId="0" borderId="63" pivotButton="0" quotePrefix="0" xfId="0"/>
    <xf numFmtId="38" fontId="46" fillId="2" borderId="30" applyAlignment="1" pivotButton="0" quotePrefix="0" xfId="101">
      <alignment horizontal="right" vertical="center"/>
    </xf>
    <xf numFmtId="0" fontId="0" fillId="0" borderId="35" pivotButton="0" quotePrefix="0" xfId="0"/>
    <xf numFmtId="0" fontId="41" fillId="2" borderId="28" applyAlignment="1" pivotButton="0" quotePrefix="0" xfId="0">
      <alignment horizontal="center" vertical="center"/>
    </xf>
    <xf numFmtId="0" fontId="0" fillId="0" borderId="61" pivotButton="0" quotePrefix="0" xfId="0"/>
    <xf numFmtId="166" fontId="46" fillId="0" borderId="27" applyAlignment="1" pivotButton="0" quotePrefix="0" xfId="0">
      <alignment horizontal="center" vertical="center"/>
    </xf>
    <xf numFmtId="0" fontId="0" fillId="0" borderId="49" pivotButton="0" quotePrefix="0" xfId="0"/>
    <xf numFmtId="172" fontId="27" fillId="9" borderId="27" applyAlignment="1" applyProtection="1" pivotButton="0" quotePrefix="0" xfId="101">
      <alignment horizontal="center" vertical="center"/>
      <protection locked="0" hidden="0"/>
    </xf>
    <xf numFmtId="0" fontId="0" fillId="0" borderId="49" applyProtection="1" pivotButton="0" quotePrefix="0" xfId="0">
      <protection locked="0" hidden="0"/>
    </xf>
    <xf numFmtId="169" fontId="44" fillId="9" borderId="25" applyAlignment="1" applyProtection="1" pivotButton="0" quotePrefix="0" xfId="101">
      <alignment horizontal="center" vertical="center" wrapText="1"/>
      <protection locked="0" hidden="0"/>
    </xf>
    <xf numFmtId="0" fontId="0" fillId="0" borderId="65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44" fillId="9" borderId="34" applyAlignment="1" applyProtection="1" pivotButton="0" quotePrefix="0" xfId="0">
      <alignment horizontal="center" vertical="center" wrapText="1"/>
      <protection locked="0" hidden="0"/>
    </xf>
    <xf numFmtId="0" fontId="46" fillId="0" borderId="25" applyAlignment="1" pivotButton="0" quotePrefix="0" xfId="0">
      <alignment horizontal="center" vertical="center" wrapText="1"/>
    </xf>
    <xf numFmtId="0" fontId="41" fillId="6" borderId="21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7" pivotButton="0" quotePrefix="0" xfId="0"/>
    <xf numFmtId="0" fontId="0" fillId="0" borderId="58" pivotButton="0" quotePrefix="0" xfId="0"/>
    <xf numFmtId="170" fontId="27" fillId="10" borderId="41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/>
    </xf>
    <xf numFmtId="0" fontId="41" fillId="6" borderId="22" applyAlignment="1" pivotButton="0" quotePrefix="0" xfId="0">
      <alignment horizontal="center" vertical="center" wrapText="1"/>
    </xf>
    <xf numFmtId="0" fontId="0" fillId="0" borderId="59" pivotButton="0" quotePrefix="0" xfId="0"/>
    <xf numFmtId="0" fontId="41" fillId="6" borderId="23" applyAlignment="1" pivotButton="0" quotePrefix="0" xfId="0">
      <alignment horizontal="center" vertical="center"/>
    </xf>
    <xf numFmtId="0" fontId="0" fillId="0" borderId="37" pivotButton="0" quotePrefix="0" xfId="0"/>
    <xf numFmtId="168" fontId="43" fillId="0" borderId="28" applyAlignment="1" pivotButton="0" quotePrefix="0" xfId="0">
      <alignment horizontal="center" vertical="center"/>
    </xf>
    <xf numFmtId="38" fontId="27" fillId="0" borderId="27" applyAlignment="1" pivotButton="0" quotePrefix="0" xfId="0">
      <alignment horizontal="right" vertical="center"/>
    </xf>
    <xf numFmtId="38" fontId="27" fillId="0" borderId="24" applyAlignment="1" pivotButton="0" quotePrefix="0" xfId="0">
      <alignment horizontal="right" vertical="center"/>
    </xf>
    <xf numFmtId="0" fontId="0" fillId="0" borderId="47" pivotButton="0" quotePrefix="0" xfId="0"/>
    <xf numFmtId="172" fontId="45" fillId="9" borderId="27" applyAlignment="1" applyProtection="1" pivotButton="0" quotePrefix="0" xfId="101">
      <alignment horizontal="center" vertical="center"/>
      <protection locked="0" hidden="0"/>
    </xf>
    <xf numFmtId="168" fontId="27" fillId="0" borderId="26" applyAlignment="1" pivotButton="0" quotePrefix="0" xfId="0">
      <alignment horizontal="center" vertical="center"/>
    </xf>
    <xf numFmtId="0" fontId="0" fillId="0" borderId="60" pivotButton="0" quotePrefix="0" xfId="0"/>
    <xf numFmtId="38" fontId="27" fillId="0" borderId="32" applyAlignment="1" pivotButton="0" quotePrefix="0" xfId="0">
      <alignment horizontal="right" vertical="center"/>
    </xf>
    <xf numFmtId="0" fontId="41" fillId="6" borderId="36" applyAlignment="1" pivotButton="0" quotePrefix="0" xfId="0">
      <alignment horizontal="center" vertical="center" shrinkToFit="1"/>
    </xf>
    <xf numFmtId="0" fontId="47" fillId="6" borderId="21" applyAlignment="1" pivotButton="0" quotePrefix="0" xfId="0">
      <alignment horizontal="center" vertical="center"/>
    </xf>
    <xf numFmtId="0" fontId="41" fillId="6" borderId="38" applyAlignment="1" pivotButton="0" quotePrefix="0" xfId="0">
      <alignment horizontal="center" vertical="center"/>
    </xf>
    <xf numFmtId="0" fontId="0" fillId="0" borderId="38" pivotButton="0" quotePrefix="0" xfId="0"/>
    <xf numFmtId="0" fontId="27" fillId="9" borderId="34" applyAlignment="1" applyProtection="1" pivotButton="0" quotePrefix="0" xfId="0">
      <alignment horizontal="center" vertical="center"/>
      <protection locked="0" hidden="0"/>
    </xf>
    <xf numFmtId="172" fontId="46" fillId="2" borderId="35" applyAlignment="1" pivotButton="0" quotePrefix="0" xfId="101">
      <alignment horizontal="center" vertical="center"/>
    </xf>
    <xf numFmtId="0" fontId="41" fillId="6" borderId="41" applyAlignment="1" pivotButton="0" quotePrefix="0" xfId="0">
      <alignment horizontal="center" vertical="center"/>
    </xf>
    <xf numFmtId="0" fontId="35" fillId="6" borderId="18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9" fontId="27" fillId="10" borderId="41" applyAlignment="1" pivotButton="0" quotePrefix="0" xfId="15">
      <alignment horizontal="center" vertical="center" wrapText="1"/>
    </xf>
    <xf numFmtId="0" fontId="41" fillId="6" borderId="37" applyAlignment="1" pivotButton="0" quotePrefix="0" xfId="0">
      <alignment horizontal="center" vertical="center" shrinkToFit="1"/>
    </xf>
    <xf numFmtId="38" fontId="27" fillId="0" borderId="14" applyAlignment="1" pivotButton="0" quotePrefix="0" xfId="0">
      <alignment horizontal="center" vertical="center"/>
    </xf>
    <xf numFmtId="38" fontId="27" fillId="0" borderId="30" applyAlignment="1" pivotButton="0" quotePrefix="0" xfId="0">
      <alignment horizontal="right" vertical="center"/>
    </xf>
    <xf numFmtId="0" fontId="44" fillId="0" borderId="33" applyAlignment="1" pivotButton="0" quotePrefix="0" xfId="0">
      <alignment horizontal="center" vertical="center"/>
    </xf>
    <xf numFmtId="0" fontId="41" fillId="6" borderId="24" applyAlignment="1" pivotButton="0" quotePrefix="0" xfId="0">
      <alignment horizontal="center" vertical="center" wrapText="1"/>
    </xf>
    <xf numFmtId="0" fontId="0" fillId="0" borderId="53" pivotButton="0" quotePrefix="0" xfId="0"/>
    <xf numFmtId="165" fontId="46" fillId="0" borderId="27" applyAlignment="1" pivotButton="0" quotePrefix="0" xfId="0">
      <alignment horizontal="center" vertical="center"/>
    </xf>
    <xf numFmtId="169" fontId="47" fillId="6" borderId="24" applyAlignment="1" pivotButton="0" quotePrefix="0" xfId="101">
      <alignment horizontal="center" vertical="center"/>
    </xf>
    <xf numFmtId="168" fontId="43" fillId="0" borderId="31" applyAlignment="1" pivotButton="0" quotePrefix="0" xfId="0">
      <alignment horizontal="center" vertical="center"/>
    </xf>
    <xf numFmtId="0" fontId="41" fillId="6" borderId="24" applyAlignment="1" pivotButton="0" quotePrefix="0" xfId="0">
      <alignment horizontal="center" vertical="center"/>
    </xf>
    <xf numFmtId="168" fontId="34" fillId="0" borderId="5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56" pivotButton="0" quotePrefix="0" xfId="0"/>
    <xf numFmtId="0" fontId="0" fillId="0" borderId="66" pivotButton="0" quotePrefix="0" xfId="0"/>
    <xf numFmtId="0" fontId="0" fillId="0" borderId="67" pivotButton="0" quotePrefix="0" xfId="0"/>
    <xf numFmtId="168" fontId="27" fillId="0" borderId="27" applyAlignment="1" pivotButton="0" quotePrefix="0" xfId="0">
      <alignment horizontal="left" vertical="center" wrapText="1" indent="1"/>
    </xf>
    <xf numFmtId="168" fontId="27" fillId="0" borderId="34" applyAlignment="1" pivotButton="0" quotePrefix="0" xfId="0">
      <alignment horizontal="center" vertical="center" wrapText="1"/>
    </xf>
    <xf numFmtId="168" fontId="34" fillId="0" borderId="48" applyAlignment="1" pivotButton="0" quotePrefix="0" xfId="0">
      <alignment horizontal="center" vertical="center" wrapText="1"/>
    </xf>
    <xf numFmtId="0" fontId="49" fillId="0" borderId="0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0" fontId="46" fillId="0" borderId="77" applyAlignment="1" pivotButton="0" quotePrefix="0" xfId="0">
      <alignment horizontal="left" vertical="center" wrapText="1"/>
    </xf>
    <xf numFmtId="0" fontId="46" fillId="0" borderId="65" applyAlignment="1" pivotButton="0" quotePrefix="0" xfId="0">
      <alignment horizontal="left" vertical="center" wrapText="1"/>
    </xf>
    <xf numFmtId="0" fontId="46" fillId="0" borderId="64" applyAlignment="1" pivotButton="0" quotePrefix="0" xfId="0">
      <alignment horizontal="left" vertical="center" wrapText="1"/>
    </xf>
    <xf numFmtId="0" fontId="46" fillId="0" borderId="78" applyAlignment="1" pivotButton="0" quotePrefix="0" xfId="0">
      <alignment horizontal="left" vertical="center" wrapText="1"/>
    </xf>
    <xf numFmtId="0" fontId="46" fillId="0" borderId="61" applyAlignment="1" pivotButton="0" quotePrefix="0" xfId="0">
      <alignment horizontal="left" vertical="center" wrapText="1"/>
    </xf>
    <xf numFmtId="0" fontId="46" fillId="0" borderId="29" applyAlignment="1" pivotButton="0" quotePrefix="0" xfId="0">
      <alignment horizontal="left" vertical="center" wrapText="1"/>
    </xf>
    <xf numFmtId="10" fontId="58" fillId="0" borderId="6" applyAlignment="1" pivotButton="0" quotePrefix="0" xfId="1">
      <alignment vertical="center"/>
    </xf>
    <xf numFmtId="10" fontId="0" fillId="0" borderId="6" applyAlignment="1" pivotButton="0" quotePrefix="0" xfId="0">
      <alignment vertical="center"/>
    </xf>
    <xf numFmtId="0" fontId="0" fillId="0" borderId="40" pivotButton="0" quotePrefix="0" xfId="0"/>
    <xf numFmtId="0" fontId="46" fillId="0" borderId="25" applyAlignment="1" pivotButton="0" quotePrefix="0" xfId="0">
      <alignment horizontal="left" vertical="center" wrapText="1"/>
    </xf>
    <xf numFmtId="0" fontId="46" fillId="0" borderId="50" applyAlignment="1" pivotButton="0" quotePrefix="0" xfId="0">
      <alignment horizontal="left" vertical="center" wrapText="1"/>
    </xf>
    <xf numFmtId="0" fontId="0" fillId="0" borderId="29" pivotButton="0" quotePrefix="0" xfId="0"/>
  </cellXfs>
  <cellStyles count="133">
    <cellStyle name="Normal" xfId="0" builtinId="0"/>
    <cellStyle name="Percent" xfId="1" builtinId="5"/>
    <cellStyle name="$" xfId="2"/>
    <cellStyle name="$_db진흥" xfId="3"/>
    <cellStyle name="$_SE40" xfId="4"/>
    <cellStyle name="$_견적2" xfId="5"/>
    <cellStyle name="$_기아" xfId="6"/>
    <cellStyle name="??&amp;O?&amp;H?_x0008__x000f__x0007_?_x0007__x0001__x0001_" xfId="7"/>
    <cellStyle name="??&amp;O?&amp;H?_x0008_??_x0007__x0001__x0001_" xfId="8"/>
    <cellStyle name="_02년1차(수정)" xfId="9"/>
    <cellStyle name="_MM" xfId="10"/>
    <cellStyle name="_개요" xfId="11"/>
    <cellStyle name="_고무방충재" xfId="12"/>
    <cellStyle name="_공통" xfId="13"/>
    <cellStyle name="_공통_MM" xfId="14"/>
    <cellStyle name="_공통_외교통상정보화 4단계 구축_2.0_장비" xfId="15"/>
    <cellStyle name="_기본형" xfId="16"/>
    <cellStyle name="_디아모_한국전산원_Listprice" xfId="17"/>
    <cellStyle name="_외교통상정보화 4단계 구축_2.0_장비" xfId="18"/>
    <cellStyle name="_요약" xfId="19"/>
    <cellStyle name="_파주 GIS 시스템설계서(도로,상,하수 시스템)_050406" xfId="20"/>
    <cellStyle name="_파주시_도로 및 상,하수 범용 도입_050314" xfId="21"/>
    <cellStyle name="AeE¡ⓒ [0]_INQUIRY ￠?￥i¨u¡AAⓒ￢Aⓒª " xfId="22"/>
    <cellStyle name="AeE¡ⓒ_INQUIRY ￠?￥i¨u¡AAⓒ￢Aⓒª " xfId="23"/>
    <cellStyle name="AeE­ [0]_AMT " xfId="24"/>
    <cellStyle name="AeE­_AMT " xfId="25"/>
    <cellStyle name="ALIGNMENT" xfId="26"/>
    <cellStyle name="A¨­￠￢￠O [0]_INQUIRY ￠?￥i¨u¡AAⓒ￢Aⓒª " xfId="27"/>
    <cellStyle name="A¨­￠￢￠O_INQUIRY ￠?￥i¨u¡AAⓒ￢Aⓒª " xfId="28"/>
    <cellStyle name="AÞ¸¶ [0]_AN°y(1.25) " xfId="29"/>
    <cellStyle name="AÞ¸¶_AN°y(1.25) " xfId="30"/>
    <cellStyle name="Calc Currency (0)" xfId="31"/>
    <cellStyle name="category" xfId="32"/>
    <cellStyle name="comma zerodec" xfId="33"/>
    <cellStyle name="Comma0" xfId="34"/>
    <cellStyle name="Curren?_x0012_퐀_x0017_?" xfId="35"/>
    <cellStyle name="Currency0" xfId="36"/>
    <cellStyle name="Currency1" xfId="37"/>
    <cellStyle name="C¡IA¨ª_¡ic¨u¡A¨￢I¨￢¡Æ AN¡Æe " xfId="38"/>
    <cellStyle name="C￥AØ_¿μ¾÷CoE² " xfId="39"/>
    <cellStyle name="Date" xfId="40"/>
    <cellStyle name="Dezimal [0]_laroux" xfId="41"/>
    <cellStyle name="Dezimal_laroux" xfId="42"/>
    <cellStyle name="Dollar (zero dec)" xfId="43"/>
    <cellStyle name="Fixed" xfId="44"/>
    <cellStyle name="Grey" xfId="45"/>
    <cellStyle name="HEADER" xfId="46"/>
    <cellStyle name="Header1" xfId="47"/>
    <cellStyle name="Header2" xfId="48"/>
    <cellStyle name="Heading 1 1" xfId="49"/>
    <cellStyle name="Heading 1 2" xfId="50"/>
    <cellStyle name="Heading 2 2" xfId="51"/>
    <cellStyle name="Heading2" xfId="52"/>
    <cellStyle name="Input [yellow]" xfId="53"/>
    <cellStyle name="jin" xfId="54"/>
    <cellStyle name="Milliers [0]_Arabian Spec" xfId="55"/>
    <cellStyle name="Milliers_Arabian Spec" xfId="56"/>
    <cellStyle name="Model" xfId="57"/>
    <cellStyle name="Mon?aire [0]_Arabian Spec" xfId="58"/>
    <cellStyle name="Mon?aire_Arabian Spec" xfId="59"/>
    <cellStyle name="Normal - Style1" xfId="60"/>
    <cellStyle name="Percent [2]" xfId="61"/>
    <cellStyle name="Standard_laroux" xfId="62"/>
    <cellStyle name="subhead" xfId="63"/>
    <cellStyle name="Total" xfId="64"/>
    <cellStyle name="W?rung [0]_laroux" xfId="65"/>
    <cellStyle name="W?rung_laroux" xfId="66"/>
    <cellStyle name="¤@?e_TEST-1 " xfId="67"/>
    <cellStyle name="고정소숫점" xfId="68"/>
    <cellStyle name="고정출력1" xfId="69"/>
    <cellStyle name="고정출력2" xfId="70"/>
    <cellStyle name="날짜" xfId="71"/>
    <cellStyle name="달러" xfId="72"/>
    <cellStyle name="뒤에 오는 하이퍼링크_관급전기" xfId="73"/>
    <cellStyle name="똿뗦먛귟 [0.00]_PRODUCT DETAIL Q1" xfId="74"/>
    <cellStyle name="똿뗦먛귟_PRODUCT DETAIL Q1" xfId="75"/>
    <cellStyle name="믅됞 [0.00]_PRODUCT DETAIL Q1" xfId="76"/>
    <cellStyle name="믅됞_PRODUCT DETAIL Q1" xfId="77"/>
    <cellStyle name="백분율 2" xfId="78"/>
    <cellStyle name="뷭?_BOOKSHIP" xfId="79"/>
    <cellStyle name="숫자(R)" xfId="80"/>
    <cellStyle name="쉼표 [0] 2" xfId="81"/>
    <cellStyle name="쉼표 [0] 2 2" xfId="82"/>
    <cellStyle name="쉼표 [0] 3" xfId="83"/>
    <cellStyle name="쉼표 [0] 4" xfId="84"/>
    <cellStyle name="쉼표 [0] 5" xfId="85"/>
    <cellStyle name="스타일 1" xfId="86"/>
    <cellStyle name="스타일 2" xfId="87"/>
    <cellStyle name="안건회계법인" xfId="88"/>
    <cellStyle name="원" xfId="89"/>
    <cellStyle name="자리수" xfId="90"/>
    <cellStyle name="자리수0" xfId="91"/>
    <cellStyle name="제목1" xfId="92"/>
    <cellStyle name="제목[1 줄]" xfId="93"/>
    <cellStyle name="제목[2줄 아래]" xfId="94"/>
    <cellStyle name="제목[2줄 위]" xfId="95"/>
    <cellStyle name="좋음 2" xfId="96"/>
    <cellStyle name="좋음 3" xfId="97"/>
    <cellStyle name="좋음 4" xfId="98"/>
    <cellStyle name="지정되지 않음" xfId="99"/>
    <cellStyle name="콤마 [0]_  종  합  " xfId="100"/>
    <cellStyle name="콤마_  종  합  " xfId="101"/>
    <cellStyle name="퍼센트" xfId="102"/>
    <cellStyle name="표준 10 2" xfId="103"/>
    <cellStyle name="표준 2" xfId="104"/>
    <cellStyle name="표준 2 2" xfId="105"/>
    <cellStyle name="표준 2 2 2" xfId="106"/>
    <cellStyle name="표준 2 2 2 2" xfId="107"/>
    <cellStyle name="표준 2 2 2 2 2" xfId="108"/>
    <cellStyle name="표준 2 2 2 2 2 2" xfId="109"/>
    <cellStyle name="표준 2 2 2 2 2 2 2" xfId="110"/>
    <cellStyle name="표준 2 2 2 2 3" xfId="111"/>
    <cellStyle name="표준 2 2 2 3" xfId="112"/>
    <cellStyle name="표준 2 2 2 3 2" xfId="113"/>
    <cellStyle name="표준 2 2 3" xfId="114"/>
    <cellStyle name="표준 2 2 3 2" xfId="115"/>
    <cellStyle name="표준 2 2 3 2 2" xfId="116"/>
    <cellStyle name="표준 2 2 4" xfId="117"/>
    <cellStyle name="표준 2 3" xfId="118"/>
    <cellStyle name="표준 2 4" xfId="119"/>
    <cellStyle name="표준 2_OP-PCM-TMP-E001-V1.1_규모산정(템플릿)" xfId="120"/>
    <cellStyle name="표준 3" xfId="121"/>
    <cellStyle name="표준 3 2" xfId="122"/>
    <cellStyle name="표준 3 3" xfId="123"/>
    <cellStyle name="표준 4 2" xfId="124"/>
    <cellStyle name="표준 9 2" xfId="125"/>
    <cellStyle name="표준_가격제안서(기상DB구축)_050331" xfId="126"/>
    <cellStyle name="합계" xfId="127"/>
    <cellStyle name="합산" xfId="128"/>
    <cellStyle name="화폐기호" xfId="129"/>
    <cellStyle name="화폐기호0" xfId="130"/>
    <cellStyle name="Excel Built-in Neutral" xfId="131"/>
    <cellStyle name="Excel Built-in Comma [0] 3" xfId="132"/>
  </cellStyles>
  <dxfs count="15">
    <dxf>
      <fill>
        <patternFill>
          <bgColor theme="6" tint="0.5998718222602009"/>
        </patternFill>
      </fill>
    </dxf>
    <dxf>
      <fill>
        <patternFill>
          <bgColor theme="3" tint="0.5998718222602009"/>
        </patternFill>
      </fill>
    </dxf>
    <dxf>
      <fill>
        <patternFill>
          <bgColor theme="5" tint="0.5998718222602009"/>
        </patternFill>
      </fill>
    </dxf>
    <dxf>
      <fill>
        <patternFill>
          <bgColor theme="6" tint="0.5998718222602009"/>
        </patternFill>
      </fill>
    </dxf>
    <dxf>
      <fill>
        <patternFill>
          <bgColor theme="3" tint="0.5998718222602009"/>
        </patternFill>
      </fill>
    </dxf>
    <dxf>
      <fill>
        <patternFill>
          <bgColor theme="5" tint="0.5998718222602009"/>
        </patternFill>
      </fill>
    </dxf>
    <dxf>
      <fill>
        <patternFill>
          <bgColor theme="6" tint="0.5998718222602009"/>
        </patternFill>
      </fill>
    </dxf>
    <dxf>
      <fill>
        <patternFill>
          <bgColor theme="3" tint="0.5998718222602009"/>
        </patternFill>
      </fill>
    </dxf>
    <dxf>
      <fill>
        <patternFill>
          <bgColor theme="5" tint="0.5998718222602009"/>
        </patternFill>
      </fill>
    </dxf>
    <dxf>
      <fill>
        <patternFill>
          <bgColor theme="6" tint="0.5998718222602009"/>
        </patternFill>
      </fill>
    </dxf>
    <dxf>
      <fill>
        <patternFill>
          <bgColor theme="5" tint="0.5998718222602009"/>
        </patternFill>
      </fill>
    </dxf>
    <dxf>
      <fill>
        <patternFill>
          <bgColor theme="3" tint="0.5998718222602009"/>
        </patternFill>
      </fill>
    </dxf>
    <dxf>
      <fill>
        <patternFill>
          <bgColor theme="5" tint="0.5998718222602009"/>
        </patternFill>
      </fill>
    </dxf>
    <dxf>
      <fill>
        <patternFill>
          <bgColor theme="3" tint="0.5998718222602009"/>
        </patternFill>
      </fill>
    </dxf>
    <dxf>
      <fill>
        <patternFill>
          <bgColor theme="6" tint="0.599871822260200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C66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6EFCE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9C"/>
      <rgbColor rgb="FFCCFFCC"/>
      <rgbColor rgb="FFFFFF99"/>
      <rgbColor rgb="FF8EB4E3"/>
      <rgbColor rgb="FFE6B9B8"/>
      <rgbColor rgb="FFCC99FF"/>
      <rgbColor rgb="FFFCD5B5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7"/>
  <sheetViews>
    <sheetView workbookViewId="0">
      <selection activeCell="N8" sqref="N8"/>
    </sheetView>
  </sheetViews>
  <sheetFormatPr baseColWidth="10" defaultColWidth="8.83203125" defaultRowHeight="14"/>
  <sheetData>
    <row r="3" ht="17.5" customHeight="1" s="118">
      <c r="B3" s="95" t="inlineStr">
        <is>
          <t>○ 개발비 견적</t>
        </is>
      </c>
      <c r="L3" s="69" t="inlineStr">
        <is>
          <t>(단위 : 원)</t>
        </is>
      </c>
    </row>
    <row r="4" ht="16" customHeight="1" s="118">
      <c r="B4" s="100" t="inlineStr">
        <is>
          <t>구분</t>
        </is>
      </c>
      <c r="C4" s="120" t="n"/>
      <c r="D4" s="120" t="n"/>
      <c r="E4" s="120" t="n"/>
      <c r="F4" s="120" t="n"/>
      <c r="G4" s="120" t="n"/>
      <c r="H4" s="120" t="n"/>
      <c r="I4" s="120" t="n"/>
      <c r="J4" s="195" t="n"/>
      <c r="K4" s="100" t="inlineStr">
        <is>
          <t>금액</t>
        </is>
      </c>
      <c r="L4" s="195" t="n"/>
    </row>
    <row r="5" ht="16" customHeight="1" s="118">
      <c r="B5" s="91" t="inlineStr">
        <is>
          <t>기능견적 (개발, 부가세 별도)</t>
        </is>
      </c>
      <c r="C5" s="120" t="n"/>
      <c r="D5" s="120" t="n"/>
      <c r="E5" s="120" t="n"/>
      <c r="F5" s="120" t="n"/>
      <c r="G5" s="120" t="n"/>
      <c r="H5" s="120" t="n"/>
      <c r="I5" s="120" t="n"/>
      <c r="J5" s="195" t="n"/>
      <c r="K5" s="99">
        <f>상세비용!K8+상세비용!K9</f>
        <v/>
      </c>
      <c r="L5" s="195" t="n"/>
    </row>
    <row r="6" ht="16" customHeight="1" s="118">
      <c r="B6" s="91" t="inlineStr">
        <is>
          <t>직접비 (인건비 등)</t>
        </is>
      </c>
      <c r="C6" s="120" t="n"/>
      <c r="D6" s="120" t="n"/>
      <c r="E6" s="120" t="n"/>
      <c r="F6" s="120" t="n"/>
      <c r="G6" s="120" t="n"/>
      <c r="H6" s="120" t="n"/>
      <c r="I6" s="120" t="n"/>
      <c r="J6" s="195" t="n"/>
      <c r="K6" s="99">
        <f>상세비용!K19</f>
        <v/>
      </c>
      <c r="L6" s="195" t="n"/>
    </row>
    <row r="7" ht="17" customHeight="1" s="118">
      <c r="B7" s="101" t="inlineStr">
        <is>
          <t>최종 견적 금액 (부가세 별도)</t>
        </is>
      </c>
      <c r="C7" s="120" t="n"/>
      <c r="D7" s="120" t="n"/>
      <c r="E7" s="120" t="n"/>
      <c r="F7" s="120" t="n"/>
      <c r="G7" s="120" t="n"/>
      <c r="H7" s="120" t="n"/>
      <c r="I7" s="120" t="n"/>
      <c r="J7" s="195" t="n"/>
      <c r="K7" s="102">
        <f>SUM(K5:L6)</f>
        <v/>
      </c>
      <c r="L7" s="195" t="n"/>
    </row>
    <row r="8" ht="16.5" customHeight="1" s="118">
      <c r="B8" s="91" t="inlineStr">
        <is>
          <t>할인율 (AI 적용 및 기타 협의에 의한 할인)</t>
        </is>
      </c>
      <c r="C8" s="120" t="n"/>
      <c r="D8" s="120" t="n"/>
      <c r="E8" s="120" t="n"/>
      <c r="F8" s="120" t="n"/>
      <c r="G8" s="120" t="n"/>
      <c r="H8" s="120" t="n"/>
      <c r="I8" s="120" t="n"/>
      <c r="J8" s="195" t="n"/>
      <c r="K8" s="193" t="n">
        <v>0</v>
      </c>
      <c r="L8" s="195" t="n"/>
    </row>
    <row r="9" ht="18" customHeight="1" s="118">
      <c r="B9" s="89" t="inlineStr">
        <is>
          <t>최종 견적 금액 (부가세 포함, 천만원 이하 절삭)</t>
        </is>
      </c>
      <c r="C9" s="120" t="n"/>
      <c r="D9" s="120" t="n"/>
      <c r="E9" s="120" t="n"/>
      <c r="F9" s="120" t="n"/>
      <c r="G9" s="120" t="n"/>
      <c r="H9" s="120" t="n"/>
      <c r="I9" s="120" t="n"/>
      <c r="J9" s="195" t="n"/>
      <c r="K9" s="94">
        <f>_xlfn.FLOOR.MATH(K7-(K7*K8),1000000)</f>
        <v/>
      </c>
      <c r="L9" s="195" t="n"/>
    </row>
    <row r="11" ht="17.5" customHeight="1" s="118">
      <c r="B11" s="95" t="inlineStr">
        <is>
          <t>○ 최종 견적</t>
        </is>
      </c>
      <c r="L11" s="69" t="inlineStr">
        <is>
          <t>(단위 : 원)</t>
        </is>
      </c>
    </row>
    <row r="12" ht="16" customHeight="1" s="118">
      <c r="B12" s="97" t="inlineStr">
        <is>
          <t>구분</t>
        </is>
      </c>
      <c r="C12" s="86" t="n"/>
      <c r="D12" s="86" t="n"/>
      <c r="E12" s="86" t="n"/>
      <c r="F12" s="86" t="n"/>
      <c r="G12" s="86" t="n"/>
      <c r="H12" s="86" t="n"/>
      <c r="I12" s="86" t="n"/>
      <c r="J12" s="87" t="n"/>
      <c r="K12" s="97" t="inlineStr">
        <is>
          <t>금액</t>
        </is>
      </c>
      <c r="L12" s="87" t="n"/>
    </row>
    <row r="13" ht="16" customHeight="1" s="118">
      <c r="B13" s="85" t="inlineStr">
        <is>
          <t>개발비</t>
        </is>
      </c>
      <c r="C13" s="86" t="n"/>
      <c r="D13" s="86" t="n"/>
      <c r="E13" s="86" t="n"/>
      <c r="F13" s="86" t="n"/>
      <c r="G13" s="86" t="n"/>
      <c r="H13" s="86" t="n"/>
      <c r="I13" s="86" t="n"/>
      <c r="J13" s="87" t="n"/>
      <c r="K13" s="92">
        <f>K9</f>
        <v/>
      </c>
      <c r="L13" s="87" t="n"/>
    </row>
    <row r="14" ht="16" customHeight="1" s="118">
      <c r="B14" s="85" t="n"/>
      <c r="C14" s="86" t="n"/>
      <c r="D14" s="86" t="n"/>
      <c r="E14" s="86" t="n"/>
      <c r="F14" s="86" t="n"/>
      <c r="G14" s="86" t="n"/>
      <c r="H14" s="86" t="n"/>
      <c r="I14" s="86" t="n"/>
      <c r="J14" s="87" t="n"/>
      <c r="K14" s="92" t="n"/>
      <c r="L14" s="87" t="n"/>
    </row>
    <row r="15" ht="17" customHeight="1" s="118">
      <c r="B15" s="98" t="inlineStr">
        <is>
          <t>최종 견적 금액 (부가세 별도)</t>
        </is>
      </c>
      <c r="C15" s="86" t="n"/>
      <c r="D15" s="86" t="n"/>
      <c r="E15" s="86" t="n"/>
      <c r="F15" s="86" t="n"/>
      <c r="G15" s="86" t="n"/>
      <c r="H15" s="86" t="n"/>
      <c r="I15" s="86" t="n"/>
      <c r="J15" s="87" t="n"/>
      <c r="K15" s="93">
        <f>K13+K14</f>
        <v/>
      </c>
      <c r="L15" s="87" t="n"/>
    </row>
    <row r="16" ht="16.5" customHeight="1" s="118" thickBot="1">
      <c r="B16" s="85" t="inlineStr">
        <is>
          <t>부가세 (10%)</t>
        </is>
      </c>
      <c r="C16" s="86" t="n"/>
      <c r="D16" s="86" t="n"/>
      <c r="E16" s="86" t="n"/>
      <c r="F16" s="86" t="n"/>
      <c r="G16" s="86" t="n"/>
      <c r="H16" s="86" t="n"/>
      <c r="I16" s="86" t="n"/>
      <c r="J16" s="87" t="n"/>
      <c r="K16" s="92">
        <f>K15*0.1</f>
        <v/>
      </c>
      <c r="L16" s="87" t="n"/>
    </row>
    <row r="17" ht="18" customHeight="1" s="118" thickBot="1">
      <c r="B17" s="82" t="inlineStr">
        <is>
          <t>최종 견적 금액 (부가세 포함)</t>
        </is>
      </c>
      <c r="C17" s="83" t="n"/>
      <c r="D17" s="83" t="n"/>
      <c r="E17" s="83" t="n"/>
      <c r="F17" s="83" t="n"/>
      <c r="G17" s="83" t="n"/>
      <c r="H17" s="83" t="n"/>
      <c r="I17" s="83" t="n"/>
      <c r="J17" s="84" t="n"/>
      <c r="K17" s="88">
        <f>K15+K16</f>
        <v/>
      </c>
      <c r="L17" s="84" t="n"/>
    </row>
  </sheetData>
  <mergeCells count="26">
    <mergeCell ref="K16:L16"/>
    <mergeCell ref="B14:J14"/>
    <mergeCell ref="K15:L15"/>
    <mergeCell ref="K9:L9"/>
    <mergeCell ref="B17:J17"/>
    <mergeCell ref="K5:L5"/>
    <mergeCell ref="B8:J8"/>
    <mergeCell ref="K4:L4"/>
    <mergeCell ref="B13:J13"/>
    <mergeCell ref="K13:L13"/>
    <mergeCell ref="B9:J9"/>
    <mergeCell ref="B6:J6"/>
    <mergeCell ref="B3:K3"/>
    <mergeCell ref="B15:J15"/>
    <mergeCell ref="B5:J5"/>
    <mergeCell ref="K12:L12"/>
    <mergeCell ref="K8:L8"/>
    <mergeCell ref="B4:J4"/>
    <mergeCell ref="K14:L14"/>
    <mergeCell ref="B11:K11"/>
    <mergeCell ref="B16:J16"/>
    <mergeCell ref="K17:L17"/>
    <mergeCell ref="B7:J7"/>
    <mergeCell ref="K7:L7"/>
    <mergeCell ref="K6:L6"/>
    <mergeCell ref="B12:J12"/>
  </mergeCells>
  <pageMargins left="0.7" right="0.7" top="0.75" bottom="0.75" header="0.3" footer="0.3"/>
  <pageSetup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67"/>
  <sheetViews>
    <sheetView showGridLines="0" view="pageBreakPreview" zoomScale="110" zoomScaleNormal="100" zoomScalePageLayoutView="110" workbookViewId="0">
      <selection activeCell="E19" sqref="E19"/>
    </sheetView>
  </sheetViews>
  <sheetFormatPr baseColWidth="10" defaultColWidth="9" defaultRowHeight="14.25" customHeight="1"/>
  <cols>
    <col width="2.33203125" customWidth="1" style="1" min="1" max="1"/>
    <col width="18.5" customWidth="1" style="1" min="2" max="2"/>
    <col width="24.5" customWidth="1" style="1" min="3" max="3"/>
    <col width="31.6640625" customWidth="1" style="1" min="4" max="4"/>
    <col width="55.83203125" customWidth="1" style="1" min="5" max="5"/>
    <col width="9.33203125" customWidth="1" style="2" min="6" max="6"/>
    <col width="9.33203125" customWidth="1" style="1" min="7" max="7"/>
    <col width="26.1640625" customWidth="1" style="1" min="8" max="8"/>
    <col width="9" customWidth="1" style="1" min="9" max="10"/>
    <col width="9" customWidth="1" style="1" min="11" max="16384"/>
  </cols>
  <sheetData>
    <row r="1" ht="19.5" customHeight="1" s="118">
      <c r="B1" s="3" t="inlineStr">
        <is>
          <t>기능점수 산정 (간이법)</t>
        </is>
      </c>
      <c r="C1" s="3" t="n"/>
      <c r="D1" s="3" t="n"/>
      <c r="E1" s="3" t="n"/>
      <c r="F1" s="3" t="n"/>
      <c r="G1" s="3" t="n"/>
      <c r="H1" s="3" t="n"/>
      <c r="I1" s="4" t="n"/>
      <c r="J1" s="4" t="n"/>
      <c r="K1" s="4" t="n"/>
    </row>
    <row r="2" ht="15" customHeight="1" s="118">
      <c r="B2" s="3" t="n"/>
      <c r="C2" s="3" t="n"/>
      <c r="D2" s="3" t="n"/>
      <c r="E2" s="3" t="n"/>
      <c r="F2" s="3" t="n"/>
      <c r="G2" s="3" t="n"/>
      <c r="H2" s="3" t="n"/>
      <c r="I2" s="4" t="n"/>
      <c r="J2" s="4" t="n"/>
      <c r="K2" s="4" t="n"/>
    </row>
    <row r="3" ht="48" customHeight="1" s="118">
      <c r="B3" s="113" t="inlineStr">
        <is>
          <t>기능명</t>
        </is>
      </c>
      <c r="C3" s="114" t="n"/>
      <c r="D3" s="114" t="n"/>
      <c r="E3" s="115" t="n"/>
      <c r="F3" s="5" t="inlineStr">
        <is>
          <t>데이터 및 트랜잭션 기능</t>
        </is>
      </c>
      <c r="G3" s="6" t="inlineStr">
        <is>
          <t>FP 산출</t>
        </is>
      </c>
      <c r="H3" s="111" t="inlineStr">
        <is>
          <t>비고</t>
        </is>
      </c>
      <c r="I3" s="4" t="n"/>
      <c r="J3" s="4" t="n"/>
      <c r="K3" s="4" t="n"/>
    </row>
    <row r="4" ht="16" customHeight="1" s="118">
      <c r="B4" s="7" t="inlineStr">
        <is>
          <t>①어플리케이션명</t>
        </is>
      </c>
      <c r="C4" s="8" t="inlineStr">
        <is>
          <t>②세부 업무명</t>
        </is>
      </c>
      <c r="D4" s="8" t="inlineStr">
        <is>
          <t>③단위프로세스명</t>
        </is>
      </c>
      <c r="E4" s="9" t="inlineStr">
        <is>
          <t>단위프로세스 설명</t>
        </is>
      </c>
      <c r="F4" s="10" t="inlineStr">
        <is>
          <t>④FP유형</t>
        </is>
      </c>
      <c r="G4" s="11" t="inlineStr">
        <is>
          <t>⑤가중치</t>
        </is>
      </c>
      <c r="H4" s="112" t="n"/>
      <c r="I4" s="4" t="n"/>
      <c r="J4" s="4" t="n"/>
      <c r="K4" s="4" t="n"/>
    </row>
    <row r="5" ht="19.5" customFormat="1" customHeight="1" s="12">
      <c r="B5" s="103" t="n"/>
      <c r="C5" s="106" t="n"/>
      <c r="D5" s="106" t="n"/>
      <c r="E5" s="106" t="n"/>
      <c r="F5" s="78" t="n"/>
      <c r="G5" s="79" t="n"/>
      <c r="H5" s="13" t="n"/>
    </row>
    <row r="6" ht="19.5" customFormat="1" customHeight="1" s="12">
      <c r="D6" s="106" t="n"/>
      <c r="E6" s="106" t="n"/>
      <c r="F6" s="78" t="n"/>
      <c r="G6" s="79" t="n"/>
      <c r="H6" s="13" t="n"/>
    </row>
    <row r="7" ht="19.5" customFormat="1" customHeight="1" s="12">
      <c r="D7" s="106" t="n"/>
      <c r="E7" s="106" t="n"/>
      <c r="F7" s="78" t="n"/>
      <c r="G7" s="79" t="n"/>
      <c r="H7" s="13" t="n"/>
    </row>
    <row r="8" ht="19.5" customFormat="1" customHeight="1" s="12">
      <c r="D8" s="106" t="n"/>
      <c r="E8" s="106" t="n"/>
      <c r="F8" s="78" t="n"/>
      <c r="G8" s="79" t="n"/>
      <c r="H8" s="13" t="n"/>
    </row>
    <row r="9" ht="19.5" customFormat="1" customHeight="1" s="12">
      <c r="D9" s="106" t="n"/>
      <c r="E9" s="106" t="n"/>
      <c r="F9" s="78" t="n"/>
      <c r="G9" s="79" t="n"/>
      <c r="H9" s="13" t="n"/>
    </row>
    <row r="10" ht="19.5" customFormat="1" customHeight="1" s="12">
      <c r="C10" s="106" t="n"/>
      <c r="D10" s="106" t="n"/>
      <c r="E10" s="106" t="n"/>
      <c r="F10" s="78" t="n"/>
      <c r="G10" s="79" t="n"/>
      <c r="H10" s="13" t="n"/>
    </row>
    <row r="11" ht="19.5" customFormat="1" customHeight="1" s="12">
      <c r="D11" s="106" t="n"/>
      <c r="E11" s="106" t="n"/>
      <c r="F11" s="78" t="n"/>
      <c r="G11" s="79" t="n"/>
      <c r="H11" s="13" t="n"/>
    </row>
    <row r="12" ht="19.5" customFormat="1" customHeight="1" s="12">
      <c r="D12" s="106" t="n"/>
      <c r="E12" s="106" t="n"/>
      <c r="F12" s="78" t="n"/>
      <c r="G12" s="79" t="n"/>
      <c r="H12" s="13" t="n"/>
    </row>
    <row r="13" ht="19.5" customFormat="1" customHeight="1" s="12">
      <c r="D13" s="106" t="n"/>
      <c r="E13" s="106" t="n"/>
      <c r="F13" s="78" t="n"/>
      <c r="G13" s="79" t="n"/>
      <c r="H13" s="13" t="n"/>
    </row>
    <row r="14" ht="19.5" customFormat="1" customHeight="1" s="12">
      <c r="D14" s="106" t="n"/>
      <c r="E14" s="106" t="n"/>
      <c r="F14" s="78" t="n"/>
      <c r="G14" s="79" t="n"/>
      <c r="H14" s="13" t="n"/>
    </row>
    <row r="15" ht="19.5" customFormat="1" customHeight="1" s="12">
      <c r="D15" s="106" t="n"/>
      <c r="E15" s="106" t="n"/>
      <c r="F15" s="78" t="n"/>
      <c r="G15" s="79" t="n"/>
      <c r="H15" s="13" t="n"/>
    </row>
    <row r="16" ht="19.5" customFormat="1" customHeight="1" s="12">
      <c r="C16" s="106" t="n"/>
      <c r="D16" s="106" t="n"/>
      <c r="E16" s="106" t="n"/>
      <c r="F16" s="78" t="n"/>
      <c r="G16" s="79" t="n"/>
      <c r="H16" s="13" t="n"/>
    </row>
    <row r="17" ht="19.5" customFormat="1" customHeight="1" s="12">
      <c r="D17" s="106" t="n"/>
      <c r="E17" s="106" t="n"/>
      <c r="F17" s="78" t="n"/>
      <c r="G17" s="79" t="n"/>
      <c r="H17" s="13" t="n"/>
    </row>
    <row r="18" ht="19.5" customFormat="1" customHeight="1" s="12">
      <c r="D18" s="106" t="n"/>
      <c r="E18" s="106" t="n"/>
      <c r="F18" s="78" t="n"/>
      <c r="G18" s="79" t="n"/>
      <c r="H18" s="13" t="n"/>
    </row>
    <row r="19" ht="19.5" customFormat="1" customHeight="1" s="12">
      <c r="D19" s="106" t="n"/>
      <c r="E19" s="106" t="n"/>
      <c r="F19" s="78" t="n"/>
      <c r="G19" s="79" t="n"/>
      <c r="H19" s="13" t="n"/>
    </row>
    <row r="20" ht="19.5" customFormat="1" customHeight="1" s="12">
      <c r="D20" s="106" t="n"/>
      <c r="E20" s="106" t="n"/>
      <c r="F20" s="78" t="n"/>
      <c r="G20" s="79" t="n"/>
      <c r="H20" s="13" t="n"/>
    </row>
    <row r="21" ht="19.5" customFormat="1" customHeight="1" s="12">
      <c r="D21" s="106" t="n"/>
      <c r="E21" s="106" t="n"/>
      <c r="F21" s="78" t="n"/>
      <c r="G21" s="79" t="n"/>
      <c r="H21" s="13" t="n"/>
    </row>
    <row r="22" ht="19.5" customFormat="1" customHeight="1" s="12">
      <c r="D22" s="106" t="n"/>
      <c r="E22" s="106" t="n"/>
      <c r="F22" s="78" t="n"/>
      <c r="G22" s="79" t="n"/>
      <c r="H22" s="13" t="n"/>
    </row>
    <row r="23" ht="19.5" customFormat="1" customHeight="1" s="12">
      <c r="D23" s="106" t="n"/>
      <c r="E23" s="106" t="n"/>
      <c r="F23" s="78" t="n"/>
      <c r="G23" s="79" t="n"/>
      <c r="H23" s="13" t="n"/>
    </row>
    <row r="24" ht="19.5" customFormat="1" customHeight="1" s="12">
      <c r="C24" s="106" t="n"/>
      <c r="D24" s="106" t="n"/>
      <c r="E24" s="106" t="n"/>
      <c r="F24" s="78" t="n"/>
      <c r="G24" s="79" t="n"/>
      <c r="H24" s="13" t="n"/>
    </row>
    <row r="25" ht="19.5" customFormat="1" customHeight="1" s="12">
      <c r="D25" s="106" t="n"/>
      <c r="E25" s="106" t="n"/>
      <c r="F25" s="78" t="n"/>
      <c r="G25" s="79" t="n"/>
      <c r="H25" s="13" t="n"/>
    </row>
    <row r="26" ht="19.5" customFormat="1" customHeight="1" s="12">
      <c r="D26" s="106" t="n"/>
      <c r="E26" s="106" t="n"/>
      <c r="F26" s="78" t="n"/>
      <c r="G26" s="79" t="n"/>
      <c r="H26" s="13" t="n"/>
    </row>
    <row r="27" ht="19.5" customFormat="1" customHeight="1" s="12">
      <c r="D27" s="106" t="n"/>
      <c r="E27" s="106" t="n"/>
      <c r="F27" s="78" t="n"/>
      <c r="G27" s="79" t="n"/>
      <c r="H27" s="13" t="n"/>
    </row>
    <row r="28" ht="19.5" customFormat="1" customHeight="1" s="12">
      <c r="D28" s="106" t="n"/>
      <c r="E28" s="106" t="n"/>
      <c r="F28" s="78" t="n"/>
      <c r="G28" s="79" t="n"/>
      <c r="H28" s="13" t="n"/>
    </row>
    <row r="29" ht="19.5" customFormat="1" customHeight="1" s="12">
      <c r="B29" s="107" t="n"/>
      <c r="C29" s="110" t="n"/>
      <c r="D29" s="110" t="n"/>
      <c r="E29" s="110" t="n"/>
      <c r="F29" s="81" t="n"/>
      <c r="G29" s="71" t="n"/>
      <c r="H29" s="13" t="n"/>
    </row>
    <row r="30" ht="19.5" customFormat="1" customHeight="1" s="12">
      <c r="D30" s="110" t="n"/>
      <c r="E30" s="110" t="n"/>
      <c r="F30" s="81" t="n"/>
      <c r="G30" s="71" t="n"/>
      <c r="H30" s="13" t="n"/>
    </row>
    <row r="31" ht="19.5" customFormat="1" customHeight="1" s="12">
      <c r="D31" s="110" t="n"/>
      <c r="E31" s="110" t="n"/>
      <c r="F31" s="81" t="n"/>
      <c r="G31" s="71" t="n"/>
      <c r="H31" s="13" t="n"/>
    </row>
    <row r="32" ht="19.5" customFormat="1" customHeight="1" s="12">
      <c r="D32" s="110" t="n"/>
      <c r="E32" s="110" t="n"/>
      <c r="F32" s="81" t="n"/>
      <c r="G32" s="71" t="n"/>
      <c r="H32" s="13" t="n"/>
    </row>
    <row r="33" ht="19.5" customFormat="1" customHeight="1" s="12">
      <c r="C33" s="110" t="n"/>
      <c r="D33" s="110" t="n"/>
      <c r="E33" s="110" t="n"/>
      <c r="F33" s="81" t="n"/>
      <c r="G33" s="71" t="n"/>
      <c r="H33" s="13" t="n"/>
    </row>
    <row r="34" ht="19.5" customFormat="1" customHeight="1" s="12">
      <c r="D34" s="110" t="n"/>
      <c r="E34" s="110" t="n"/>
      <c r="F34" s="81" t="n"/>
      <c r="G34" s="71" t="n"/>
      <c r="H34" s="13" t="n"/>
    </row>
    <row r="35" ht="19.5" customFormat="1" customHeight="1" s="12">
      <c r="D35" s="110" t="n"/>
      <c r="E35" s="110" t="n"/>
      <c r="F35" s="81" t="n"/>
      <c r="G35" s="71" t="n"/>
      <c r="H35" s="13" t="n"/>
    </row>
    <row r="36" ht="19.5" customFormat="1" customHeight="1" s="12">
      <c r="D36" s="110" t="n"/>
      <c r="E36" s="110" t="n"/>
      <c r="F36" s="81" t="n"/>
      <c r="G36" s="71" t="n"/>
      <c r="H36" s="13" t="n"/>
    </row>
    <row r="37" ht="19.5" customFormat="1" customHeight="1" s="12">
      <c r="D37" s="110" t="n"/>
      <c r="E37" s="110" t="n"/>
      <c r="F37" s="81" t="n"/>
      <c r="G37" s="71" t="n"/>
      <c r="H37" s="13" t="n"/>
    </row>
    <row r="38" ht="19.5" customFormat="1" customHeight="1" s="12">
      <c r="D38" s="110" t="n"/>
      <c r="E38" s="110" t="n"/>
      <c r="F38" s="81" t="n"/>
      <c r="G38" s="71" t="n"/>
      <c r="H38" s="13" t="n"/>
    </row>
    <row r="39" ht="19.5" customFormat="1" customHeight="1" s="12">
      <c r="D39" s="110" t="n"/>
      <c r="E39" s="110" t="n"/>
      <c r="F39" s="81" t="n"/>
      <c r="G39" s="71" t="n"/>
      <c r="H39" s="13" t="n"/>
    </row>
    <row r="40" ht="19.5" customFormat="1" customHeight="1" s="12">
      <c r="D40" s="110" t="n"/>
      <c r="E40" s="110" t="n"/>
      <c r="F40" s="81" t="n"/>
      <c r="G40" s="71" t="n"/>
      <c r="H40" s="13" t="n"/>
    </row>
    <row r="41" ht="19.5" customFormat="1" customHeight="1" s="12">
      <c r="C41" s="110" t="n"/>
      <c r="D41" s="110" t="n"/>
      <c r="E41" s="110" t="n"/>
      <c r="F41" s="81" t="n"/>
      <c r="G41" s="71" t="n"/>
      <c r="H41" s="13" t="n"/>
    </row>
    <row r="42" ht="19.5" customFormat="1" customHeight="1" s="12">
      <c r="D42" s="110" t="n"/>
      <c r="E42" s="110" t="n"/>
      <c r="F42" s="81" t="n"/>
      <c r="G42" s="71" t="n"/>
      <c r="H42" s="13" t="n"/>
    </row>
    <row r="43" ht="19.5" customFormat="1" customHeight="1" s="12">
      <c r="D43" s="110" t="n"/>
      <c r="E43" s="110" t="n"/>
      <c r="F43" s="81" t="n"/>
      <c r="G43" s="71" t="n"/>
      <c r="H43" s="13" t="n"/>
    </row>
    <row r="44" ht="19.5" customFormat="1" customHeight="1" s="12">
      <c r="B44" s="103" t="n"/>
      <c r="C44" s="106" t="n"/>
      <c r="D44" s="106" t="n"/>
      <c r="E44" s="106" t="n"/>
      <c r="F44" s="78" t="n"/>
      <c r="G44" s="79" t="n"/>
      <c r="H44" s="13" t="n"/>
    </row>
    <row r="45" ht="19.5" customFormat="1" customHeight="1" s="12">
      <c r="D45" s="106" t="n"/>
      <c r="E45" s="106" t="n"/>
      <c r="F45" s="78" t="n"/>
      <c r="G45" s="79" t="n"/>
      <c r="H45" s="13" t="n"/>
    </row>
    <row r="46" ht="19.5" customFormat="1" customHeight="1" s="12">
      <c r="D46" s="106" t="n"/>
      <c r="E46" s="106" t="n"/>
      <c r="F46" s="78" t="n"/>
      <c r="G46" s="79" t="n"/>
      <c r="H46" s="13" t="n"/>
    </row>
    <row r="47" ht="19.5" customFormat="1" customHeight="1" s="12">
      <c r="D47" s="106" t="n"/>
      <c r="E47" s="106" t="n"/>
      <c r="F47" s="78" t="n"/>
      <c r="G47" s="79" t="n"/>
      <c r="H47" s="13" t="n"/>
    </row>
    <row r="48" ht="19.5" customFormat="1" customHeight="1" s="12">
      <c r="D48" s="106" t="n"/>
      <c r="E48" s="106" t="n"/>
      <c r="F48" s="78" t="n"/>
      <c r="G48" s="79" t="n"/>
      <c r="H48" s="13" t="n"/>
    </row>
    <row r="49" ht="19.5" customFormat="1" customHeight="1" s="12">
      <c r="D49" s="106" t="n"/>
      <c r="E49" s="106" t="n"/>
      <c r="F49" s="78" t="n"/>
      <c r="G49" s="79" t="n"/>
      <c r="H49" s="13" t="n"/>
    </row>
    <row r="50" ht="19.5" customFormat="1" customHeight="1" s="12">
      <c r="C50" s="106" t="n"/>
      <c r="D50" s="106" t="n"/>
      <c r="E50" s="106" t="n"/>
      <c r="F50" s="78" t="n"/>
      <c r="G50" s="79" t="n"/>
      <c r="H50" s="13" t="n"/>
    </row>
    <row r="51" ht="19.5" customFormat="1" customHeight="1" s="12">
      <c r="D51" s="106" t="n"/>
      <c r="E51" s="106" t="n"/>
      <c r="F51" s="78" t="n"/>
      <c r="G51" s="79" t="n"/>
      <c r="H51" s="13" t="n"/>
    </row>
    <row r="52" ht="19.5" customFormat="1" customHeight="1" s="12">
      <c r="D52" s="106" t="n"/>
      <c r="E52" s="106" t="n"/>
      <c r="F52" s="78" t="n"/>
      <c r="G52" s="79" t="n"/>
      <c r="H52" s="13" t="n"/>
    </row>
    <row r="53" ht="19.5" customFormat="1" customHeight="1" s="12">
      <c r="D53" s="106" t="n"/>
      <c r="E53" s="106" t="n"/>
      <c r="F53" s="78" t="n"/>
      <c r="G53" s="79" t="n"/>
      <c r="H53" s="13" t="n"/>
    </row>
    <row r="54" ht="19.5" customFormat="1" customHeight="1" s="12">
      <c r="D54" s="106" t="n"/>
      <c r="E54" s="106" t="n"/>
      <c r="F54" s="78" t="n"/>
      <c r="G54" s="79" t="n"/>
      <c r="H54" s="13" t="n"/>
    </row>
    <row r="55" ht="19.5" customFormat="1" customHeight="1" s="12">
      <c r="D55" s="106" t="n"/>
      <c r="E55" s="106" t="n"/>
      <c r="F55" s="78" t="n"/>
      <c r="G55" s="79" t="n"/>
      <c r="H55" s="13" t="n"/>
    </row>
    <row r="56" ht="19.5" customFormat="1" customHeight="1" s="12">
      <c r="C56" s="106" t="n"/>
      <c r="D56" s="106" t="n"/>
      <c r="E56" s="106" t="n"/>
      <c r="F56" s="78" t="n"/>
      <c r="G56" s="79" t="n"/>
      <c r="H56" s="13" t="n"/>
    </row>
    <row r="57" ht="19.5" customFormat="1" customHeight="1" s="12">
      <c r="D57" s="106" t="n"/>
      <c r="E57" s="106" t="n"/>
      <c r="F57" s="78" t="n"/>
      <c r="G57" s="79" t="n"/>
      <c r="H57" s="13" t="n"/>
    </row>
    <row r="58" ht="19.5" customFormat="1" customHeight="1" s="12">
      <c r="D58" s="106" t="n"/>
      <c r="E58" s="106" t="n"/>
      <c r="F58" s="78" t="n"/>
      <c r="G58" s="79" t="n"/>
      <c r="H58" s="13" t="n"/>
    </row>
    <row r="59" ht="19.5" customFormat="1" customHeight="1" s="12">
      <c r="D59" s="106" t="n"/>
      <c r="E59" s="106" t="n"/>
      <c r="F59" s="78" t="n"/>
      <c r="G59" s="79" t="n"/>
      <c r="H59" s="13" t="n"/>
    </row>
    <row r="60" ht="19.5" customFormat="1" customHeight="1" s="12">
      <c r="C60" s="106" t="n"/>
      <c r="D60" s="106" t="n"/>
      <c r="E60" s="106" t="n"/>
      <c r="F60" s="78" t="n"/>
      <c r="G60" s="79" t="n"/>
      <c r="H60" s="13" t="n"/>
    </row>
    <row r="61" ht="19.5" customFormat="1" customHeight="1" s="12">
      <c r="D61" s="106" t="n"/>
      <c r="E61" s="106" t="n"/>
      <c r="F61" s="78" t="n"/>
      <c r="G61" s="79" t="n"/>
      <c r="H61" s="13" t="n"/>
    </row>
    <row r="62" ht="19.5" customFormat="1" customHeight="1" s="12">
      <c r="D62" s="106" t="n"/>
      <c r="E62" s="106" t="n"/>
      <c r="F62" s="78" t="n"/>
      <c r="G62" s="79" t="n"/>
      <c r="H62" s="13" t="n"/>
    </row>
    <row r="63" ht="19.5" customFormat="1" customHeight="1" s="12">
      <c r="D63" s="106" t="n"/>
      <c r="E63" s="106" t="n"/>
      <c r="F63" s="78" t="n"/>
      <c r="G63" s="79" t="n"/>
      <c r="H63" s="13" t="n"/>
    </row>
    <row r="64" ht="19.5" customFormat="1" customHeight="1" s="12">
      <c r="D64" s="106" t="n"/>
      <c r="E64" s="106" t="n"/>
      <c r="F64" s="78" t="n"/>
      <c r="G64" s="79" t="n"/>
      <c r="H64" s="13" t="n"/>
    </row>
    <row r="65" ht="19.5" customFormat="1" customHeight="1" s="12">
      <c r="D65" s="106" t="n"/>
      <c r="E65" s="106" t="n"/>
      <c r="F65" s="78" t="n"/>
      <c r="G65" s="79" t="n"/>
      <c r="H65" s="13" t="n"/>
    </row>
    <row r="66" ht="19.5" customFormat="1" customHeight="1" s="12">
      <c r="D66" s="106" t="n"/>
      <c r="E66" s="106" t="n"/>
      <c r="F66" s="78" t="n"/>
      <c r="G66" s="79" t="n"/>
      <c r="H66" s="13" t="n"/>
    </row>
    <row r="67" ht="19.5" customFormat="1" customHeight="1" s="12">
      <c r="D67" s="106" t="n"/>
      <c r="E67" s="106" t="n"/>
      <c r="F67" s="78" t="n"/>
      <c r="G67" s="79" t="n"/>
      <c r="H67" s="13" t="n"/>
    </row>
  </sheetData>
  <mergeCells count="2">
    <mergeCell ref="H3:H4"/>
    <mergeCell ref="B3:E3"/>
  </mergeCells>
  <conditionalFormatting sqref="B5:H5 C17:E17 C27:F27 C34:F34 C43:F43 D6:E16 D6:H11 D12:G13 D14:F16 D18:E26 D28:E33 D28:F28 D30:F33 D35:F42 D44:E52 D44:F45 D52:F62 D62:E67 F17:F51 F56:F67 G14:G67 H12:H67">
    <cfRule type="expression" priority="31" dxfId="0">
      <formula>#REF!=1</formula>
    </cfRule>
  </conditionalFormatting>
  <conditionalFormatting sqref="B5:H5 C17:E17 C27:F27 C34:F34 C43:F43 D6:E16 D6:H11 D12:G13 D18:E26 D28:E33 D28:F28 D30:F33 D35:F42 D44:E52 D44:F45 D52:F62 D62:E67 F17:F51 F56:F67 G14:G67 H12:H67">
    <cfRule type="expression" priority="29" dxfId="1">
      <formula>#REF!=1</formula>
    </cfRule>
    <cfRule type="expression" priority="30" dxfId="2">
      <formula>#REF!=1</formula>
    </cfRule>
  </conditionalFormatting>
  <conditionalFormatting sqref="D18:E22 D23:D25">
    <cfRule type="expression" priority="35" dxfId="1">
      <formula>#REF!=1</formula>
    </cfRule>
    <cfRule type="expression" priority="36" dxfId="2">
      <formula>#REF!=1</formula>
    </cfRule>
    <cfRule type="expression" priority="37" dxfId="0">
      <formula>#REF!=1</formula>
    </cfRule>
  </conditionalFormatting>
  <conditionalFormatting sqref="D14:F17 G5:H67">
    <cfRule type="expression" priority="28" dxfId="2">
      <formula>#REF!=1</formula>
    </cfRule>
  </conditionalFormatting>
  <conditionalFormatting sqref="D14:F17">
    <cfRule type="expression" priority="26" dxfId="1">
      <formula>#REF!=1</formula>
    </cfRule>
  </conditionalFormatting>
  <conditionalFormatting sqref="D17:F17">
    <cfRule type="expression" priority="27" dxfId="0">
      <formula>#REF!=1</formula>
    </cfRule>
  </conditionalFormatting>
  <conditionalFormatting sqref="F5:F67">
    <cfRule type="expression" priority="6" dxfId="2">
      <formula>#REF!=1</formula>
    </cfRule>
  </conditionalFormatting>
  <conditionalFormatting sqref="F17">
    <cfRule type="expression" priority="2" dxfId="1">
      <formula>#REF!=1</formula>
    </cfRule>
    <cfRule type="expression" priority="3" dxfId="0">
      <formula>#REF!=1</formula>
    </cfRule>
    <cfRule type="expression" priority="4" dxfId="2">
      <formula>#REF!=1</formula>
    </cfRule>
  </conditionalFormatting>
  <conditionalFormatting sqref="F5:H67">
    <cfRule type="expression" priority="5" dxfId="1">
      <formula>#REF!=1</formula>
    </cfRule>
    <cfRule type="expression" priority="7" dxfId="0">
      <formula>#REF!=1</formula>
    </cfRule>
  </conditionalFormatting>
  <dataValidations count="1">
    <dataValidation sqref="F5:F67" showDropDown="0" showInputMessage="1" showErrorMessage="1" allowBlank="1" type="list">
      <formula1>"ILF,EIF,EI,EO,EQ"</formula1>
      <formula2>0</formula2>
    </dataValidation>
  </dataValidations>
  <printOptions horizontalCentered="1"/>
  <pageMargins left="0.25" right="0.25" top="0.75" bottom="0.75" header="0.511811023622047" footer="0.511811023622047"/>
  <pageSetup orientation="portrait" paperSize="9" scale="53" fitToWidth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43"/>
  <sheetViews>
    <sheetView showGridLines="0" tabSelected="1" zoomScaleNormal="100" zoomScaleSheetLayoutView="110" zoomScalePageLayoutView="110" workbookViewId="0">
      <selection activeCell="N25" sqref="N25"/>
    </sheetView>
  </sheetViews>
  <sheetFormatPr baseColWidth="10" defaultColWidth="9" defaultRowHeight="14.25" customHeight="1"/>
  <cols>
    <col width="2" customWidth="1" style="118" min="1" max="1"/>
    <col width="12.1640625" customWidth="1" style="118" min="2" max="2"/>
    <col width="11.5" customWidth="1" style="118" min="3" max="3"/>
    <col width="8.1640625" customWidth="1" style="118" min="4" max="4"/>
    <col width="10.83203125" customWidth="1" style="118" min="5" max="5"/>
    <col width="10.6640625" customWidth="1" style="118" min="6" max="10"/>
    <col width="10.83203125" customWidth="1" style="118" min="11" max="11"/>
    <col width="104.33203125" bestFit="1" customWidth="1" style="118" min="14" max="14"/>
    <col width="7.1640625" customWidth="1" style="118" min="15" max="15"/>
  </cols>
  <sheetData>
    <row r="1" ht="21.75" customHeight="1" s="118">
      <c r="B1" s="163" t="inlineStr">
        <is>
          <t>"○○○ 사업" 소프트웨어 개발비 산정</t>
        </is>
      </c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5" t="n"/>
    </row>
    <row r="2" ht="17.5" customHeight="1" s="118">
      <c r="B2" s="14" t="n"/>
      <c r="C2" s="15" t="n"/>
      <c r="D2" s="15" t="n"/>
      <c r="E2" s="4" t="n"/>
      <c r="F2" s="4" t="n"/>
      <c r="G2" s="4" t="n"/>
      <c r="H2" s="4" t="n"/>
      <c r="I2" s="4" t="n"/>
      <c r="J2" s="4" t="n"/>
      <c r="K2" s="4" t="n"/>
      <c r="L2" s="16" t="inlineStr">
        <is>
          <t xml:space="preserve">(소프트웨어사업 대가산정 가이드, 2024. KOSA) </t>
        </is>
      </c>
    </row>
    <row r="3" ht="14.25" customHeight="1" s="118">
      <c r="B3" s="17" t="n"/>
      <c r="C3" s="18" t="n"/>
      <c r="D3" s="18" t="n"/>
      <c r="E3" s="4" t="n"/>
      <c r="F3" s="4" t="n"/>
      <c r="G3" s="4" t="n"/>
      <c r="H3" s="4" t="n"/>
      <c r="I3" s="4" t="n"/>
      <c r="J3" s="4" t="n"/>
      <c r="K3" s="4" t="n"/>
      <c r="L3" s="19" t="n"/>
    </row>
    <row r="4" ht="14.25" customHeight="1" s="118">
      <c r="B4" s="20" t="inlineStr">
        <is>
          <t>○ 개발원가 산정</t>
        </is>
      </c>
      <c r="C4" s="21" t="n"/>
      <c r="D4" s="21" t="n"/>
      <c r="E4" s="4" t="n"/>
      <c r="F4" s="4" t="n"/>
      <c r="G4" s="4" t="n"/>
      <c r="H4" s="4" t="n"/>
      <c r="I4" s="4" t="n"/>
      <c r="J4" s="4" t="n"/>
      <c r="K4" s="4" t="n"/>
      <c r="L4" s="22" t="inlineStr">
        <is>
          <t>(단위 : 원)</t>
        </is>
      </c>
    </row>
    <row r="5" ht="18" customHeight="1" s="118">
      <c r="B5" s="138" t="inlineStr">
        <is>
          <t>총기능점수</t>
        </is>
      </c>
      <c r="C5" s="139" t="n"/>
      <c r="D5" s="144" t="inlineStr">
        <is>
          <t>기능점수당 단가</t>
        </is>
      </c>
      <c r="E5" s="139" t="n"/>
      <c r="F5" s="146" t="inlineStr">
        <is>
          <t>보정계수</t>
        </is>
      </c>
      <c r="G5" s="147" t="n"/>
      <c r="H5" s="147" t="n"/>
      <c r="I5" s="147" t="n"/>
      <c r="J5" s="139" t="n"/>
      <c r="K5" s="171" t="inlineStr">
        <is>
          <t>개발원가</t>
        </is>
      </c>
      <c r="L5" s="159" t="n"/>
    </row>
    <row r="6" ht="18" customHeight="1" s="118">
      <c r="B6" s="140" t="n"/>
      <c r="C6" s="141" t="n"/>
      <c r="D6" s="145" t="n"/>
      <c r="E6" s="141" t="n"/>
      <c r="F6" s="23" t="inlineStr">
        <is>
          <t>규모</t>
        </is>
      </c>
      <c r="G6" s="24" t="inlineStr">
        <is>
          <t>연계복잡성</t>
        </is>
      </c>
      <c r="H6" s="24" t="inlineStr">
        <is>
          <t>성능</t>
        </is>
      </c>
      <c r="I6" s="24" t="inlineStr">
        <is>
          <t>운영환경</t>
        </is>
      </c>
      <c r="J6" s="23" t="inlineStr">
        <is>
          <t>보안성</t>
        </is>
      </c>
      <c r="K6" s="145" t="n"/>
      <c r="L6" s="172" t="n"/>
    </row>
    <row r="7" ht="62.25" customHeight="1" s="118">
      <c r="B7" s="153">
        <f>J32</f>
        <v/>
      </c>
      <c r="C7" s="154" t="n"/>
      <c r="D7" s="168" t="n">
        <v>605784</v>
      </c>
      <c r="E7" s="154" t="n"/>
      <c r="F7" s="25">
        <f>K23</f>
        <v/>
      </c>
      <c r="G7" s="26">
        <f>K24</f>
        <v/>
      </c>
      <c r="H7" s="27">
        <f>K25</f>
        <v/>
      </c>
      <c r="I7" s="28">
        <f>K26</f>
        <v/>
      </c>
      <c r="J7" s="26">
        <f>K27</f>
        <v/>
      </c>
      <c r="K7" s="149">
        <f>PRODUCT(B7:J7)</f>
        <v/>
      </c>
      <c r="L7" s="130" t="n"/>
    </row>
    <row r="8" ht="21" customHeight="1" s="118">
      <c r="B8" s="148" t="inlineStr">
        <is>
          <t>합계(보정 후 개발원가)</t>
        </is>
      </c>
      <c r="C8" s="128" t="n"/>
      <c r="D8" s="128" t="n"/>
      <c r="E8" s="128" t="n"/>
      <c r="F8" s="128" t="n"/>
      <c r="G8" s="128" t="n"/>
      <c r="H8" s="128" t="n"/>
      <c r="I8" s="128" t="n"/>
      <c r="J8" s="29" t="n"/>
      <c r="K8" s="169">
        <f>SUM(K7:L7)</f>
        <v/>
      </c>
      <c r="L8" s="126" t="n"/>
    </row>
    <row r="9" ht="21" customHeight="1" s="118">
      <c r="B9" s="175" t="inlineStr">
        <is>
          <t>이윤</t>
        </is>
      </c>
      <c r="C9" s="120" t="n"/>
      <c r="D9" s="120" t="n"/>
      <c r="E9" s="120" t="n"/>
      <c r="F9" s="120" t="n"/>
      <c r="G9" s="120" t="n"/>
      <c r="H9" s="120" t="n"/>
      <c r="I9" s="120" t="n"/>
      <c r="J9" s="30" t="n">
        <v>0.1</v>
      </c>
      <c r="K9" s="155">
        <f>K8*J9</f>
        <v/>
      </c>
      <c r="L9" s="121" t="n"/>
    </row>
    <row r="10" ht="21" customHeight="1" s="118">
      <c r="B10" s="170" t="inlineStr">
        <is>
          <t>직접경비</t>
        </is>
      </c>
      <c r="C10" s="114" t="n"/>
      <c r="D10" s="114" t="n"/>
      <c r="E10" s="114" t="n"/>
      <c r="F10" s="114" t="n"/>
      <c r="G10" s="114" t="n"/>
      <c r="H10" s="114" t="n"/>
      <c r="I10" s="114" t="n"/>
      <c r="J10" s="31" t="n"/>
      <c r="K10" s="150">
        <f>K19</f>
        <v/>
      </c>
      <c r="L10" s="151" t="n"/>
    </row>
    <row r="11" ht="21" customHeight="1" s="118">
      <c r="B11" s="127" t="inlineStr">
        <is>
          <t>소프트웨어 개발비(부가세 별도)</t>
        </is>
      </c>
      <c r="C11" s="128" t="n"/>
      <c r="D11" s="128" t="n"/>
      <c r="E11" s="128" t="n"/>
      <c r="F11" s="128" t="n"/>
      <c r="G11" s="128" t="n"/>
      <c r="H11" s="128" t="n"/>
      <c r="I11" s="128" t="n"/>
      <c r="J11" s="32" t="n"/>
      <c r="K11" s="125">
        <f>SUM(K8:L10)</f>
        <v/>
      </c>
      <c r="L11" s="126" t="n"/>
    </row>
    <row r="12" ht="14.25" customHeight="1" s="118">
      <c r="B12" s="17" t="n"/>
      <c r="C12" s="18" t="n"/>
      <c r="D12" s="18" t="n"/>
      <c r="E12" s="4" t="n"/>
      <c r="F12" s="4" t="n"/>
      <c r="G12" s="4" t="n"/>
      <c r="H12" s="4" t="n"/>
      <c r="I12" s="4" t="n"/>
      <c r="J12" s="4" t="n"/>
      <c r="K12" s="4" t="n"/>
      <c r="L12" s="33" t="n"/>
    </row>
    <row r="13" ht="14.25" customHeight="1" s="118">
      <c r="B13" s="34" t="inlineStr">
        <is>
          <t>○ 직접경비</t>
        </is>
      </c>
      <c r="C13" s="21" t="n"/>
      <c r="D13" s="21" t="n"/>
      <c r="E13" s="4" t="n"/>
      <c r="F13" s="4" t="n"/>
      <c r="G13" s="4" t="n"/>
      <c r="H13" s="4" t="n"/>
      <c r="I13" s="4" t="n"/>
      <c r="J13" s="4" t="n"/>
      <c r="K13" s="4" t="n"/>
      <c r="L13" s="22" t="inlineStr">
        <is>
          <t>(단위 : 원)</t>
        </is>
      </c>
    </row>
    <row r="14" ht="15" customHeight="1" s="118">
      <c r="B14" s="157" t="inlineStr">
        <is>
          <t>구분</t>
        </is>
      </c>
      <c r="C14" s="124" t="n"/>
      <c r="D14" s="123" t="inlineStr">
        <is>
          <t>산출내역</t>
        </is>
      </c>
      <c r="E14" s="114" t="n"/>
      <c r="F14" s="114" t="n"/>
      <c r="G14" s="114" t="n"/>
      <c r="H14" s="114" t="n"/>
      <c r="I14" s="114" t="n"/>
      <c r="J14" s="124" t="n"/>
      <c r="K14" s="174" t="inlineStr">
        <is>
          <t>금액</t>
        </is>
      </c>
      <c r="L14" s="151" t="n"/>
    </row>
    <row r="15" ht="34.5" customHeight="1" s="118">
      <c r="B15" s="160" t="n"/>
      <c r="C15" s="135" t="n"/>
      <c r="D15" s="133" t="n"/>
      <c r="E15" s="134" t="n"/>
      <c r="F15" s="134" t="n"/>
      <c r="G15" s="134" t="n"/>
      <c r="H15" s="134" t="n"/>
      <c r="I15" s="134" t="n"/>
      <c r="J15" s="135" t="n"/>
      <c r="K15" s="131" t="n"/>
      <c r="L15" s="132" t="n"/>
    </row>
    <row r="16" ht="33.75" customHeight="1" s="118">
      <c r="B16" s="136" t="n"/>
      <c r="C16" s="135" t="n"/>
      <c r="D16" s="133" t="n"/>
      <c r="E16" s="134" t="n"/>
      <c r="F16" s="134" t="n"/>
      <c r="G16" s="134" t="n"/>
      <c r="H16" s="134" t="n"/>
      <c r="I16" s="134" t="n"/>
      <c r="J16" s="135" t="n"/>
      <c r="K16" s="152" t="n"/>
      <c r="L16" s="132" t="n"/>
    </row>
    <row r="17" ht="33.75" customHeight="1" s="118">
      <c r="B17" s="136" t="n"/>
      <c r="C17" s="135" t="n"/>
      <c r="D17" s="133" t="n"/>
      <c r="E17" s="134" t="n"/>
      <c r="F17" s="134" t="n"/>
      <c r="G17" s="134" t="n"/>
      <c r="H17" s="134" t="n"/>
      <c r="I17" s="134" t="n"/>
      <c r="J17" s="135" t="n"/>
      <c r="K17" s="152" t="n"/>
      <c r="L17" s="132" t="n"/>
    </row>
    <row r="18" ht="33.75" customHeight="1" s="118">
      <c r="B18" s="136" t="n"/>
      <c r="C18" s="135" t="n"/>
      <c r="D18" s="133" t="n"/>
      <c r="E18" s="134" t="n"/>
      <c r="F18" s="134" t="n"/>
      <c r="G18" s="134" t="n"/>
      <c r="H18" s="134" t="n"/>
      <c r="I18" s="134" t="n"/>
      <c r="J18" s="135" t="n"/>
      <c r="K18" s="152" t="n"/>
      <c r="L18" s="132" t="n"/>
    </row>
    <row r="19" ht="14.25" customHeight="1" s="118">
      <c r="B19" s="127" t="inlineStr">
        <is>
          <t>합 계</t>
        </is>
      </c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61">
        <f>SUM(K15:L16)</f>
        <v/>
      </c>
      <c r="L19" s="126" t="n"/>
    </row>
    <row r="20" ht="14.25" customHeight="1" s="118">
      <c r="B20" s="35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19" t="n"/>
    </row>
    <row r="21" ht="14.25" customHeight="1" s="118">
      <c r="B21" s="20" t="inlineStr">
        <is>
          <t>○ 보정계수 산정</t>
        </is>
      </c>
      <c r="C21" s="21" t="n"/>
      <c r="D21" s="21" t="n"/>
      <c r="E21" s="36" t="n"/>
      <c r="F21" s="36" t="n"/>
      <c r="G21" s="36" t="n"/>
      <c r="H21" s="36" t="n"/>
      <c r="I21" s="36" t="n"/>
      <c r="J21" s="36" t="n"/>
      <c r="K21" s="4" t="n"/>
      <c r="L21" s="19" t="n"/>
    </row>
    <row r="22" ht="14.25" customHeight="1" s="118">
      <c r="B22" s="156" t="inlineStr">
        <is>
          <t>보정계수 구분</t>
        </is>
      </c>
      <c r="C22" s="147" t="n"/>
      <c r="D22" s="167" t="inlineStr">
        <is>
          <t>복잡도 및 난이도 수준</t>
        </is>
      </c>
      <c r="E22" s="147" t="n"/>
      <c r="F22" s="147" t="n"/>
      <c r="G22" s="147" t="n"/>
      <c r="H22" s="147" t="n"/>
      <c r="I22" s="147" t="n"/>
      <c r="J22" s="147" t="n"/>
      <c r="K22" s="158" t="inlineStr">
        <is>
          <t>보정계수</t>
        </is>
      </c>
      <c r="L22" s="159" t="n"/>
    </row>
    <row r="23" ht="45" customHeight="1" s="118">
      <c r="B23" s="143" t="inlineStr">
        <is>
          <t>SW규모</t>
        </is>
      </c>
      <c r="C23" s="117" t="n"/>
      <c r="D23" s="137">
        <f>"= 0.4057 x (log e("&amp;B7&amp;") - 7.1978)^2 + 0.8878
   (단, 500FP 미만 1.28, 3,000FP 초과 1.153 적용)"</f>
        <v/>
      </c>
      <c r="E23" s="116" t="n"/>
      <c r="F23" s="116" t="n"/>
      <c r="G23" s="116" t="n"/>
      <c r="H23" s="116" t="n"/>
      <c r="I23" s="116" t="n"/>
      <c r="J23" s="117" t="n"/>
      <c r="K23" s="173">
        <f>IF(B7&lt;500,1.28,IF(B7&gt;3000,1.153,0.4057*(LN(B7)-7.1978)^2+0.8878))</f>
        <v/>
      </c>
      <c r="L23" s="130" t="n"/>
    </row>
    <row r="24" ht="45" customHeight="1" s="118">
      <c r="B24" s="122" t="inlineStr">
        <is>
          <t>연계복잡성</t>
        </is>
      </c>
      <c r="C24" s="117" t="n"/>
      <c r="D24" s="196" t="inlineStr">
        <is>
          <t>2. 1~2개의 타 기관 연계</t>
        </is>
      </c>
      <c r="E24" s="116" t="n"/>
      <c r="F24" s="116" t="n"/>
      <c r="G24" s="116" t="n"/>
      <c r="H24" s="116" t="n"/>
      <c r="I24" s="116" t="n"/>
      <c r="J24" s="117" t="n"/>
      <c r="K24" s="129">
        <f>VLOOKUP(D24,'(참조)보정계수'!D9:E13,2,1)</f>
        <v/>
      </c>
      <c r="L24" s="130" t="n"/>
      <c r="N24" s="185" t="n"/>
      <c r="O24" s="186" t="n"/>
      <c r="P24" s="185" t="n"/>
      <c r="Q24" s="185" t="n"/>
      <c r="R24" s="185" t="n"/>
    </row>
    <row r="25" ht="45" customHeight="1" s="118">
      <c r="B25" s="122" t="inlineStr">
        <is>
          <t>성능 요구수준</t>
        </is>
      </c>
      <c r="C25" s="117" t="n"/>
      <c r="D25" s="196" t="inlineStr">
        <is>
          <t>2. 응답성능에 대한 요구사항이 있으나 특별한 조치가 필요하지는 않다.</t>
        </is>
      </c>
      <c r="E25" s="116" t="n"/>
      <c r="F25" s="116" t="n"/>
      <c r="G25" s="116" t="n"/>
      <c r="H25" s="116" t="n"/>
      <c r="I25" s="116" t="n"/>
      <c r="J25" s="117" t="n"/>
      <c r="K25" s="129">
        <f>VLOOKUP(D25,'(참조)보정계수'!D14:E18,2,1)</f>
        <v/>
      </c>
      <c r="L25" s="130" t="n"/>
      <c r="N25" s="185" t="n"/>
      <c r="O25" s="186" t="n"/>
      <c r="P25" s="185" t="n"/>
      <c r="Q25" s="185" t="n"/>
      <c r="R25" s="185" t="n"/>
    </row>
    <row r="26" ht="45" customHeight="1" s="118">
      <c r="B26" s="122" t="inlineStr">
        <is>
          <t>운영환경 호환성</t>
        </is>
      </c>
      <c r="C26" s="117" t="n"/>
      <c r="D26" s="196" t="inlineStr">
        <is>
          <t>2. 운영환경 호환성에 대한 요구사항이 있으며, 동일 하드웨어 및 소프트웨어 환경에서 운영되도록 설계된다.</t>
        </is>
      </c>
      <c r="E26" s="116" t="n"/>
      <c r="F26" s="116" t="n"/>
      <c r="G26" s="116" t="n"/>
      <c r="H26" s="116" t="n"/>
      <c r="I26" s="116" t="n"/>
      <c r="J26" s="117" t="n"/>
      <c r="K26" s="129">
        <f>VLOOKUP(D26,'(참조)보정계수'!D19:E23,2,1)</f>
        <v/>
      </c>
      <c r="L26" s="130" t="n"/>
      <c r="N26" s="185" t="n"/>
      <c r="O26" s="186" t="n"/>
      <c r="P26" s="185" t="n"/>
      <c r="Q26" s="185" t="n"/>
      <c r="R26" s="185" t="n"/>
    </row>
    <row r="27" ht="45" customHeight="1" s="118">
      <c r="B27" s="122" t="inlineStr">
        <is>
          <t>보안성 요구수준</t>
        </is>
      </c>
      <c r="C27" s="117" t="n"/>
      <c r="D27" s="197" t="inlineStr">
        <is>
          <t>2. 2가지 요구사항이 포함되어 있다.</t>
        </is>
      </c>
      <c r="E27" s="128" t="n"/>
      <c r="F27" s="128" t="n"/>
      <c r="G27" s="128" t="n"/>
      <c r="H27" s="128" t="n"/>
      <c r="I27" s="128" t="n"/>
      <c r="J27" s="198" t="n"/>
      <c r="K27" s="129">
        <f>VLOOKUP(D27,'(참조)보정계수'!D24:E28,2,1)</f>
        <v/>
      </c>
      <c r="L27" s="130" t="n"/>
      <c r="N27" s="185" t="n"/>
      <c r="O27" s="186" t="n"/>
      <c r="P27" s="185" t="n"/>
      <c r="Q27" s="185" t="n"/>
      <c r="R27" s="185" t="n"/>
    </row>
    <row r="28" ht="13.5" customHeight="1" s="118">
      <c r="B28" s="39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1" t="n"/>
      <c r="L28" s="42" t="n"/>
      <c r="N28" s="185" t="n"/>
      <c r="O28" s="186" t="n"/>
      <c r="P28" s="185" t="n"/>
      <c r="Q28" s="185" t="n"/>
      <c r="R28" s="185" t="n"/>
    </row>
    <row r="29" ht="13.5" customHeight="1" s="118">
      <c r="B29" s="43" t="inlineStr">
        <is>
          <t>○ FP 집계</t>
        </is>
      </c>
      <c r="C29" s="44" t="n"/>
      <c r="D29" s="44" t="n"/>
      <c r="L29" s="45" t="n"/>
      <c r="N29" s="185" t="n"/>
      <c r="O29" s="186" t="n"/>
      <c r="P29" s="185" t="n"/>
      <c r="Q29" s="185" t="n"/>
      <c r="R29" s="185" t="n"/>
    </row>
    <row r="30" ht="14.25" customHeight="1" s="118">
      <c r="B30" s="46" t="inlineStr">
        <is>
          <t>구분</t>
        </is>
      </c>
      <c r="C30" s="47" t="n"/>
      <c r="D30" s="47" t="n"/>
      <c r="E30" s="48" t="inlineStr">
        <is>
          <t>ILF</t>
        </is>
      </c>
      <c r="F30" s="48" t="inlineStr">
        <is>
          <t>EIF</t>
        </is>
      </c>
      <c r="G30" s="48" t="inlineStr">
        <is>
          <t>EI</t>
        </is>
      </c>
      <c r="H30" s="48" t="inlineStr">
        <is>
          <t>EO</t>
        </is>
      </c>
      <c r="I30" s="48" t="inlineStr">
        <is>
          <t>EQ</t>
        </is>
      </c>
      <c r="J30" s="162" t="inlineStr">
        <is>
          <t>계</t>
        </is>
      </c>
      <c r="K30" s="120" t="n"/>
      <c r="L30" s="121" t="n"/>
      <c r="N30" s="185" t="n"/>
      <c r="O30" s="186" t="n"/>
      <c r="P30" s="185" t="n"/>
      <c r="Q30" s="185" t="n"/>
      <c r="R30" s="185" t="n"/>
    </row>
    <row r="31" ht="14.25" customHeight="1" s="118">
      <c r="B31" s="49" t="inlineStr">
        <is>
          <t>기능수</t>
        </is>
      </c>
      <c r="C31" s="50" t="n"/>
      <c r="D31" s="50" t="n"/>
      <c r="E31" s="51">
        <f>COUNTIF(상세기능!$F$5:$F$500,"ILF")</f>
        <v/>
      </c>
      <c r="F31" s="51">
        <f>COUNTIF(상세기능!$F$5:$F$500,"EIF")</f>
        <v/>
      </c>
      <c r="G31" s="51">
        <f>COUNTIF(상세기능!$F$5:$F$500,"EI")</f>
        <v/>
      </c>
      <c r="H31" s="51">
        <f>COUNTIF(상세기능!$F$5:$F$500,"EO")</f>
        <v/>
      </c>
      <c r="I31" s="51">
        <f>COUNTIF(상세기능!$F$5:$F$500,"EQ")</f>
        <v/>
      </c>
      <c r="J31" s="142">
        <f>SUM(E31:I31)</f>
        <v/>
      </c>
      <c r="K31" s="120" t="n"/>
      <c r="L31" s="121" t="n"/>
      <c r="N31" s="185" t="n"/>
      <c r="O31" s="186" t="n"/>
      <c r="P31" s="185" t="n"/>
      <c r="Q31" s="185" t="n"/>
      <c r="R31" s="185" t="n"/>
    </row>
    <row r="32" ht="14.25" customHeight="1" s="118">
      <c r="B32" s="49" t="inlineStr">
        <is>
          <t>기능점수</t>
        </is>
      </c>
      <c r="C32" s="50" t="n"/>
      <c r="D32" s="50" t="n"/>
      <c r="E32" s="52">
        <f>SUMIF(상세기능!$F$5:$F$500,"ILF",상세기능!$G$5:$G$500)</f>
        <v/>
      </c>
      <c r="F32" s="52">
        <f>SUMIF(상세기능!$F$5:$F$500,"EIF",상세기능!$G$5:$G$500)</f>
        <v/>
      </c>
      <c r="G32" s="52">
        <f>SUMIF(상세기능!$F$5:$F$500,"EI",상세기능!$G$5:$G$500)</f>
        <v/>
      </c>
      <c r="H32" s="52">
        <f>SUMIF(상세기능!$F$5:$F$500,"EO",상세기능!$G$5:$G$500)</f>
        <v/>
      </c>
      <c r="I32" s="52">
        <f>SUMIF(상세기능!$F$5:$F$500,"EQ",상세기능!$G$5:$G$500)</f>
        <v/>
      </c>
      <c r="J32" s="119">
        <f>SUM(E32:I32)</f>
        <v/>
      </c>
      <c r="K32" s="120" t="n"/>
      <c r="L32" s="121" t="n"/>
      <c r="N32" s="185" t="n"/>
      <c r="O32" s="186" t="n"/>
      <c r="P32" s="185" t="n"/>
      <c r="Q32" s="185" t="n"/>
      <c r="R32" s="185" t="n"/>
    </row>
    <row r="33" ht="14.25" customHeight="1" s="118">
      <c r="B33" s="53" t="inlineStr">
        <is>
          <t>비중</t>
        </is>
      </c>
      <c r="C33" s="54" t="n"/>
      <c r="D33" s="54" t="n"/>
      <c r="E33" s="55">
        <f>IF($J$32&gt;0,E32/$J$32,"-")</f>
        <v/>
      </c>
      <c r="F33" s="55">
        <f>IF($J$32&gt;0,F32/$J$32,"-")</f>
        <v/>
      </c>
      <c r="G33" s="55">
        <f>IF($J$32&gt;0,G32/$J$32,"-")</f>
        <v/>
      </c>
      <c r="H33" s="55">
        <f>IF($J$32&gt;0,H32/$J$32,"-")</f>
        <v/>
      </c>
      <c r="I33" s="55">
        <f>IF($J$32&gt;0,I32/$J$32,"-")</f>
        <v/>
      </c>
      <c r="J33" s="166">
        <f>SUM(E33:I33)</f>
        <v/>
      </c>
      <c r="K33" s="120" t="n"/>
      <c r="L33" s="121" t="n"/>
      <c r="N33" s="185" t="n"/>
      <c r="O33" s="186" t="n"/>
      <c r="P33" s="185" t="n"/>
      <c r="Q33" s="185" t="n"/>
      <c r="R33" s="185" t="n"/>
    </row>
    <row r="34" ht="13.5" customHeight="1" s="118">
      <c r="B34" s="56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8" t="n"/>
      <c r="N34" s="185" t="n"/>
      <c r="O34" s="186" t="n"/>
      <c r="P34" s="185" t="n"/>
      <c r="Q34" s="185" t="n"/>
      <c r="R34" s="185" t="n"/>
    </row>
    <row r="35" ht="13.5" customHeight="1" s="118">
      <c r="N35" s="185" t="n"/>
      <c r="O35" s="186" t="n"/>
      <c r="P35" s="185" t="n"/>
      <c r="Q35" s="185" t="n"/>
      <c r="R35" s="185" t="n"/>
    </row>
    <row r="36" ht="13.5" customHeight="1" s="118">
      <c r="B36" s="95" t="inlineStr">
        <is>
          <t>○ 실비 (Pass-through, 할인 미적용)</t>
        </is>
      </c>
      <c r="L36" s="69" t="inlineStr">
        <is>
          <t>(단위 : 원)</t>
        </is>
      </c>
      <c r="N36" s="185" t="n"/>
      <c r="O36" s="186" t="n"/>
      <c r="P36" s="185" t="n"/>
      <c r="Q36" s="185" t="n"/>
      <c r="R36" s="185" t="n"/>
    </row>
    <row r="37" ht="13.5" customHeight="1" s="118">
      <c r="B37" s="97" t="inlineStr">
        <is>
          <t>구분</t>
        </is>
      </c>
      <c r="C37" s="87" t="n"/>
      <c r="D37" s="97" t="inlineStr">
        <is>
          <t>산출내역</t>
        </is>
      </c>
      <c r="E37" s="86" t="n"/>
      <c r="F37" s="86" t="n"/>
      <c r="G37" s="86" t="n"/>
      <c r="H37" s="86" t="n"/>
      <c r="I37" s="86" t="n"/>
      <c r="J37" s="87" t="n"/>
      <c r="K37" s="97" t="inlineStr">
        <is>
          <t>금액</t>
        </is>
      </c>
      <c r="L37" s="87" t="n"/>
      <c r="N37" s="185" t="n"/>
      <c r="O37" s="186" t="n"/>
      <c r="P37" s="185" t="n"/>
      <c r="Q37" s="185" t="n"/>
      <c r="R37" s="185" t="n"/>
    </row>
    <row r="38" ht="13.5" customHeight="1" s="118">
      <c r="B38" s="85" t="n"/>
      <c r="C38" s="87" t="n"/>
      <c r="D38" s="85" t="n"/>
      <c r="E38" s="86" t="n"/>
      <c r="F38" s="86" t="n"/>
      <c r="G38" s="86" t="n"/>
      <c r="H38" s="86" t="n"/>
      <c r="I38" s="86" t="n"/>
      <c r="J38" s="87" t="n"/>
      <c r="K38" s="92" t="n"/>
      <c r="L38" s="87" t="n"/>
      <c r="N38" s="185" t="n"/>
      <c r="O38" s="186" t="n"/>
      <c r="P38" s="185" t="n"/>
      <c r="Q38" s="185" t="n"/>
      <c r="R38" s="185" t="n"/>
    </row>
    <row r="39" ht="13.5" customHeight="1" s="118">
      <c r="B39" s="85" t="n"/>
      <c r="C39" s="87" t="n"/>
      <c r="D39" s="85" t="n"/>
      <c r="E39" s="86" t="n"/>
      <c r="F39" s="86" t="n"/>
      <c r="G39" s="86" t="n"/>
      <c r="H39" s="86" t="n"/>
      <c r="I39" s="86" t="n"/>
      <c r="J39" s="87" t="n"/>
      <c r="K39" s="92" t="n"/>
      <c r="L39" s="87" t="n"/>
      <c r="N39" s="185" t="n"/>
      <c r="O39" s="186" t="n"/>
      <c r="P39" s="185" t="n"/>
      <c r="Q39" s="185" t="n"/>
      <c r="R39" s="185" t="n"/>
    </row>
    <row r="40" ht="13.5" customHeight="1" s="118">
      <c r="B40" s="98" t="inlineStr">
        <is>
          <t>실비 합계</t>
        </is>
      </c>
      <c r="C40" s="86" t="n"/>
      <c r="D40" s="86" t="n"/>
      <c r="E40" s="86" t="n"/>
      <c r="F40" s="86" t="n"/>
      <c r="G40" s="86" t="n"/>
      <c r="H40" s="86" t="n"/>
      <c r="I40" s="86" t="n"/>
      <c r="J40" s="87" t="n"/>
      <c r="K40" s="93">
        <f>SUM(K38:K39)</f>
        <v/>
      </c>
      <c r="L40" s="87" t="n"/>
      <c r="N40" s="185" t="n"/>
      <c r="O40" s="186" t="n"/>
      <c r="P40" s="185" t="n"/>
      <c r="Q40" s="185" t="n"/>
      <c r="R40" s="185" t="n"/>
    </row>
    <row r="41" ht="13.5" customHeight="1" s="118">
      <c r="N41" s="185" t="n"/>
      <c r="O41" s="186" t="n"/>
      <c r="P41" s="185" t="n"/>
      <c r="Q41" s="185" t="n"/>
      <c r="R41" s="185" t="n"/>
    </row>
    <row r="42" ht="13.5" customHeight="1" s="118">
      <c r="N42" s="185" t="n"/>
      <c r="O42" s="186" t="n"/>
      <c r="P42" s="185" t="n"/>
      <c r="Q42" s="185" t="n"/>
      <c r="R42" s="185" t="n"/>
    </row>
    <row r="43" ht="13.5" customHeight="1" s="118">
      <c r="N43" s="185" t="n"/>
      <c r="O43" s="186" t="n"/>
      <c r="P43" s="185" t="n"/>
      <c r="Q43" s="185" t="n"/>
      <c r="R43" s="185" t="n"/>
    </row>
    <row r="45" ht="22" customHeight="1" s="118"/>
    <row r="47" ht="22" customHeight="1" s="118"/>
    <row r="48" ht="20" customHeight="1" s="118"/>
    <row r="49" ht="20" customHeight="1" s="118"/>
    <row r="50" ht="20" customHeight="1" s="118"/>
    <row r="51" ht="20" customHeight="1" s="118"/>
    <row r="52" ht="20" customHeight="1" s="118"/>
    <row r="53" ht="20" customHeight="1" s="118"/>
  </sheetData>
  <mergeCells count="67">
    <mergeCell ref="K16:L16"/>
    <mergeCell ref="B16:C16"/>
    <mergeCell ref="K25:L25"/>
    <mergeCell ref="D18:J18"/>
    <mergeCell ref="B7:C7"/>
    <mergeCell ref="B25:C25"/>
    <mergeCell ref="K24:L24"/>
    <mergeCell ref="K15:L15"/>
    <mergeCell ref="D39:J39"/>
    <mergeCell ref="D25:J25"/>
    <mergeCell ref="K9:L9"/>
    <mergeCell ref="B22:C22"/>
    <mergeCell ref="D24:J24"/>
    <mergeCell ref="B27:C27"/>
    <mergeCell ref="D15:J15"/>
    <mergeCell ref="B18:C18"/>
    <mergeCell ref="D23:J23"/>
    <mergeCell ref="B36:K36"/>
    <mergeCell ref="K26:L26"/>
    <mergeCell ref="D14:J14"/>
    <mergeCell ref="B39:C39"/>
    <mergeCell ref="D38:J38"/>
    <mergeCell ref="K11:L11"/>
    <mergeCell ref="B19:J19"/>
    <mergeCell ref="J32:L32"/>
    <mergeCell ref="D26:J26"/>
    <mergeCell ref="B11:I11"/>
    <mergeCell ref="B5:C6"/>
    <mergeCell ref="J31:L31"/>
    <mergeCell ref="B23:C23"/>
    <mergeCell ref="B40:J40"/>
    <mergeCell ref="D5:E6"/>
    <mergeCell ref="B14:C14"/>
    <mergeCell ref="F5:J5"/>
    <mergeCell ref="B17:C17"/>
    <mergeCell ref="K22:L22"/>
    <mergeCell ref="K40:L40"/>
    <mergeCell ref="B8:I8"/>
    <mergeCell ref="B1:L1"/>
    <mergeCell ref="B38:C38"/>
    <mergeCell ref="J33:L33"/>
    <mergeCell ref="D22:J22"/>
    <mergeCell ref="D7:E7"/>
    <mergeCell ref="K8:L8"/>
    <mergeCell ref="B37:C37"/>
    <mergeCell ref="B10:I10"/>
    <mergeCell ref="K27:L27"/>
    <mergeCell ref="K5:L6"/>
    <mergeCell ref="K23:L23"/>
    <mergeCell ref="K39:L39"/>
    <mergeCell ref="K14:L14"/>
    <mergeCell ref="D27:J27"/>
    <mergeCell ref="K17:L17"/>
    <mergeCell ref="B9:I9"/>
    <mergeCell ref="B24:C24"/>
    <mergeCell ref="K7:L7"/>
    <mergeCell ref="B15:C15"/>
    <mergeCell ref="D17:J17"/>
    <mergeCell ref="K38:L38"/>
    <mergeCell ref="K10:L10"/>
    <mergeCell ref="K19:L19"/>
    <mergeCell ref="K37:L37"/>
    <mergeCell ref="D16:J16"/>
    <mergeCell ref="B26:C26"/>
    <mergeCell ref="K18:L18"/>
    <mergeCell ref="J30:L30"/>
    <mergeCell ref="D37:J37"/>
  </mergeCells>
  <pageMargins left="0.7" right="0.7" top="0.75" bottom="0.75" header="0.511811023622047" footer="0.511811023622047"/>
  <pageSetup orientation="portrait" paperSize="9" scale="75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zoomScaleNormal="100" zoomScaleSheetLayoutView="110" zoomScalePageLayoutView="110" workbookViewId="0">
      <selection activeCell="G13" sqref="G13"/>
    </sheetView>
  </sheetViews>
  <sheetFormatPr baseColWidth="10" defaultColWidth="9" defaultRowHeight="14.25" customHeight="1"/>
  <cols>
    <col width="2" customWidth="1" style="118" min="1" max="1"/>
    <col width="7.1640625" customWidth="1" style="118" min="2" max="2"/>
    <col width="17.33203125" customWidth="1" style="118" min="3" max="3"/>
    <col width="73.6640625" customWidth="1" style="118" min="4" max="4"/>
    <col width="12.1640625" customWidth="1" style="118" min="5" max="5"/>
  </cols>
  <sheetData>
    <row r="1" ht="21.75" customHeight="1" s="118">
      <c r="B1" s="59" t="inlineStr">
        <is>
          <t xml:space="preserve">-  "OOO 사업" 소프트웨어 개발비 산정  - FP방식(간이법) </t>
        </is>
      </c>
      <c r="C1" s="60" t="n"/>
      <c r="D1" s="60" t="n"/>
      <c r="E1" s="61" t="n"/>
    </row>
    <row r="2" ht="14.25" customHeight="1" s="118">
      <c r="B2" s="62" t="n"/>
      <c r="E2" s="45" t="n"/>
    </row>
    <row r="3" ht="14.25" customHeight="1" s="118">
      <c r="B3" s="20" t="inlineStr">
        <is>
          <t>○ 규모 보정계수</t>
        </is>
      </c>
      <c r="C3" s="21" t="n"/>
      <c r="D3" s="21" t="n"/>
      <c r="E3" s="45" t="n"/>
    </row>
    <row r="4" ht="19.5" customHeight="1" s="118">
      <c r="B4" s="138" t="inlineStr">
        <is>
          <t>구분</t>
        </is>
      </c>
      <c r="C4" s="124" t="n"/>
      <c r="D4" s="176" t="inlineStr">
        <is>
          <t>산정방법</t>
        </is>
      </c>
      <c r="E4" s="151" t="n"/>
    </row>
    <row r="5" ht="47.25" customHeight="1" s="118">
      <c r="B5" s="183" t="inlineStr">
        <is>
          <t>SW규모</t>
        </is>
      </c>
      <c r="C5" s="117" t="n"/>
      <c r="D5" s="182" t="inlineStr">
        <is>
          <t xml:space="preserve"> = 0.4057 x (log e(기능점수) - 7.1978)^2 + 0.8878
   (단, 500FP 미만 1.28, 3,000FP 초과 1.153 적용)</t>
        </is>
      </c>
      <c r="E5" s="130" t="n"/>
    </row>
    <row r="6" ht="14.25" customHeight="1" s="118">
      <c r="B6" s="35" t="n"/>
      <c r="C6" s="4" t="n"/>
      <c r="D6" s="4" t="n"/>
      <c r="E6" s="19" t="n"/>
    </row>
    <row r="7" ht="14.25" customHeight="1" s="118">
      <c r="B7" s="20" t="inlineStr">
        <is>
          <t>○ 애플리케이션 복잡도 보정계수</t>
        </is>
      </c>
      <c r="C7" s="21" t="n"/>
      <c r="D7" s="21" t="n"/>
      <c r="E7" s="45" t="n"/>
    </row>
    <row r="8" ht="19.5" customHeight="1" s="118">
      <c r="B8" s="138" t="inlineStr">
        <is>
          <t>구분</t>
        </is>
      </c>
      <c r="C8" s="124" t="n"/>
      <c r="D8" s="76" t="inlineStr">
        <is>
          <t>복잡도 및 난이도 수준</t>
        </is>
      </c>
      <c r="E8" s="63" t="inlineStr">
        <is>
          <t>보정계수</t>
        </is>
      </c>
    </row>
    <row r="9" ht="19.5" customHeight="1" s="118">
      <c r="B9" s="184" t="inlineStr">
        <is>
          <t>연계복잡성</t>
        </is>
      </c>
      <c r="C9" s="154" t="n"/>
      <c r="D9" s="73" t="inlineStr">
        <is>
          <t>1. 타 기관 연계 없음</t>
        </is>
      </c>
      <c r="E9" s="64" t="n">
        <v>0.88</v>
      </c>
    </row>
    <row r="10" ht="19.5" customHeight="1" s="118">
      <c r="B10" s="178" t="n"/>
      <c r="C10" s="179" t="n"/>
      <c r="D10" s="73" t="inlineStr">
        <is>
          <t>2. 1~2개의 타 기관 연계</t>
        </is>
      </c>
      <c r="E10" s="64" t="n">
        <v>0.9399999999999999</v>
      </c>
    </row>
    <row r="11" ht="19.5" customHeight="1" s="118">
      <c r="B11" s="178" t="n"/>
      <c r="C11" s="179" t="n"/>
      <c r="D11" s="73" t="inlineStr">
        <is>
          <t>3. 3~5개의 타 기관 연계</t>
        </is>
      </c>
      <c r="E11" s="64" t="n">
        <v>1</v>
      </c>
    </row>
    <row r="12" ht="19.5" customHeight="1" s="118">
      <c r="B12" s="178" t="n"/>
      <c r="C12" s="179" t="n"/>
      <c r="D12" s="73" t="inlineStr">
        <is>
          <t>4. 6~10개의 타 기관 연계</t>
        </is>
      </c>
      <c r="E12" s="64" t="n">
        <v>1.06</v>
      </c>
    </row>
    <row r="13" ht="19.5" customHeight="1" s="118">
      <c r="B13" s="180" t="n"/>
      <c r="C13" s="181" t="n"/>
      <c r="D13" s="72" t="inlineStr">
        <is>
          <t>5. 10개 초과의 타 기관 연계</t>
        </is>
      </c>
      <c r="E13" s="65" t="n">
        <v>1.12</v>
      </c>
    </row>
    <row r="14" ht="19.5" customHeight="1" s="118">
      <c r="B14" s="177" t="inlineStr">
        <is>
          <t>성능 요구수준</t>
        </is>
      </c>
      <c r="C14" s="139" t="n"/>
      <c r="D14" s="75" t="inlineStr">
        <is>
          <t>1. 응답성능에 대한 특별한 요구사항이 없다.</t>
        </is>
      </c>
      <c r="E14" s="66" t="n">
        <v>0.91</v>
      </c>
    </row>
    <row r="15" ht="19.5" customHeight="1" s="118">
      <c r="B15" s="178" t="n"/>
      <c r="C15" s="179" t="n"/>
      <c r="D15" s="73" t="inlineStr">
        <is>
          <t>2. 응답성능에 대한 요구사항이 있으나 특별한 조치가 필요하지는 않다.</t>
        </is>
      </c>
      <c r="E15" s="66" t="n">
        <v>0.95</v>
      </c>
    </row>
    <row r="16" ht="34.5" customHeight="1" s="118">
      <c r="B16" s="178" t="n"/>
      <c r="C16" s="179" t="n"/>
      <c r="D16" s="73" t="inlineStr">
        <is>
          <t>3. 응답시간이나 처리율이 피크타임(peak time)에 중요하며, 처리 시한이 명시되어 있다.</t>
        </is>
      </c>
      <c r="E16" s="66" t="n">
        <v>1</v>
      </c>
    </row>
    <row r="17" ht="34.5" customHeight="1" s="118">
      <c r="B17" s="178" t="n"/>
      <c r="C17" s="179" t="n"/>
      <c r="D17" s="73" t="inlineStr">
        <is>
          <t>4. 응답시간이나 처리율이 모든 업무시간에 중요하며, 처리 시한이 명시되어 있다.</t>
        </is>
      </c>
      <c r="E17" s="64" t="n">
        <v>1.05</v>
      </c>
    </row>
    <row r="18" ht="34.5" customHeight="1" s="118">
      <c r="B18" s="180" t="n"/>
      <c r="C18" s="181" t="n"/>
      <c r="D18" s="72" t="inlineStr">
        <is>
          <t>5. 응답성능 요구수준이 엄격하여, 설계, 개발 또는 구현 단계에서 성능 분석도구 사용이 필요하다.</t>
        </is>
      </c>
      <c r="E18" s="65" t="n">
        <v>1.09</v>
      </c>
    </row>
    <row r="19" ht="19.5" customHeight="1" s="118">
      <c r="B19" s="177" t="inlineStr">
        <is>
          <t>운영환경 호환성</t>
        </is>
      </c>
      <c r="C19" s="139" t="n"/>
      <c r="D19" s="75" t="inlineStr">
        <is>
          <t>1. 운영환경 호환성에 대한 요구사항이 없다.</t>
        </is>
      </c>
      <c r="E19" s="66" t="n">
        <v>0.9399999999999999</v>
      </c>
    </row>
    <row r="20" ht="34.5" customHeight="1" s="118">
      <c r="B20" s="178" t="n"/>
      <c r="C20" s="179" t="n"/>
      <c r="D20" s="73" t="inlineStr">
        <is>
          <t>2. 운영환경 호환성에 대한 요구사항이 있으며, 동일 하드웨어 및 소프트웨어 환경에서 운영되도록 설계된다.</t>
        </is>
      </c>
      <c r="E20" s="66" t="n">
        <v>1</v>
      </c>
    </row>
    <row r="21" ht="34.5" customHeight="1" s="118">
      <c r="B21" s="178" t="n"/>
      <c r="C21" s="179" t="n"/>
      <c r="D21" s="73" t="inlineStr">
        <is>
          <t>3. 운영환경 호환성에 대한 요구사항이 있으며, 유사 하드웨어 및 소프트웨어 환경에서 운영되도록 설계된다.</t>
        </is>
      </c>
      <c r="E21" s="66" t="n">
        <v>1.06</v>
      </c>
    </row>
    <row r="22" ht="34.5" customHeight="1" s="118">
      <c r="B22" s="178" t="n"/>
      <c r="C22" s="179" t="n"/>
      <c r="D22" s="73" t="inlineStr">
        <is>
          <t>4. 운영환경 호환성에 대한 요구사항이 있으며, 이질적인 하드웨어 및 소프트웨어 환경에서 운영되도록 설계된다.</t>
        </is>
      </c>
      <c r="E22" s="64" t="n">
        <v>1.13</v>
      </c>
    </row>
    <row r="23" ht="34.5" customHeight="1" s="118">
      <c r="B23" s="180" t="n"/>
      <c r="C23" s="181" t="n"/>
      <c r="D23" s="72" t="inlineStr">
        <is>
          <t>5. 항목 4에 더하여 일반적 산출물 이외에 장소에서 원활한 운영을 보장하기 위한 운영 절차의 문서화와 사전 모의훈련이 요구된다.</t>
        </is>
      </c>
      <c r="E23" s="65" t="n">
        <v>1.19</v>
      </c>
    </row>
    <row r="24" ht="34.5" customHeight="1" s="118">
      <c r="B24" s="177" t="inlineStr">
        <is>
          <t>보안성 요구수준</t>
        </is>
      </c>
      <c r="C24" s="139" t="n"/>
      <c r="D24" s="74" t="inlineStr">
        <is>
          <t>1. 암호화, 웹취약점 점검, 시큐어코딩, 개인정보보호 등 1가지 보안 요구사항이 포함되어 있다.</t>
        </is>
      </c>
      <c r="E24" s="67" t="n">
        <v>0.97</v>
      </c>
    </row>
    <row r="25" ht="19.5" customHeight="1" s="118">
      <c r="B25" s="178" t="n"/>
      <c r="C25" s="179" t="n"/>
      <c r="D25" s="73" t="inlineStr">
        <is>
          <t>2. 2가지 요구사항이 포함되어 있다.</t>
        </is>
      </c>
      <c r="E25" s="64" t="n">
        <v>1</v>
      </c>
    </row>
    <row r="26" ht="19.5" customHeight="1" s="118">
      <c r="B26" s="178" t="n"/>
      <c r="C26" s="179" t="n"/>
      <c r="D26" s="73" t="inlineStr">
        <is>
          <t>3. 3가지 요구사항이 포함되어 있다.</t>
        </is>
      </c>
      <c r="E26" s="64" t="n">
        <v>1.03</v>
      </c>
    </row>
    <row r="27" ht="19.5" customHeight="1" s="118">
      <c r="B27" s="178" t="n"/>
      <c r="C27" s="179" t="n"/>
      <c r="D27" s="73" t="inlineStr">
        <is>
          <t>4. 4가지 항목이 모두 포함되어 있다.</t>
        </is>
      </c>
      <c r="E27" s="64" t="n">
        <v>1.06</v>
      </c>
    </row>
    <row r="28" ht="19.5" customHeight="1" s="118">
      <c r="B28" s="180" t="n"/>
      <c r="C28" s="181" t="n"/>
      <c r="D28" s="72" t="inlineStr">
        <is>
          <t>5. 5가지 이상의 보안 요구사항이 포함되어 있다.</t>
        </is>
      </c>
      <c r="E28" s="65" t="n">
        <v>1.08</v>
      </c>
    </row>
    <row r="29" ht="14.25" customHeight="1" s="118" thickBot="1">
      <c r="B29" s="68" t="n"/>
      <c r="C29" s="57" t="n"/>
      <c r="D29" s="57" t="n"/>
      <c r="E29" s="58" t="n"/>
    </row>
  </sheetData>
  <mergeCells count="9">
    <mergeCell ref="B9:C13"/>
    <mergeCell ref="B19:C23"/>
    <mergeCell ref="B5:C5"/>
    <mergeCell ref="D5:E5"/>
    <mergeCell ref="D4:E4"/>
    <mergeCell ref="B8:C8"/>
    <mergeCell ref="B4:C4"/>
    <mergeCell ref="B14:C18"/>
    <mergeCell ref="B24:C28"/>
  </mergeCells>
  <pageMargins left="0.7" right="0.7" top="0.75" bottom="0.75" header="0.511811023622047" footer="0.511811023622047"/>
  <pageSetup orientation="portrait" paperSize="9" scale="82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KOSA</dc:creator>
  <dc:language xmlns:dc="http://purl.org/dc/elements/1.1/">en-US</dc:language>
  <dcterms:created xmlns:dcterms="http://purl.org/dc/terms/" xmlns:xsi="http://www.w3.org/2001/XMLSchema-instance" xsi:type="dcterms:W3CDTF">2010-06-22T02:05:17Z</dcterms:created>
  <dcterms:modified xmlns:dcterms="http://purl.org/dc/terms/" xmlns:xsi="http://www.w3.org/2001/XMLSchema-instance" xsi:type="dcterms:W3CDTF">2026-06-19T01:21:30Z</dcterms:modified>
  <cp:lastModifiedBy>Jongseok Choi</cp:lastModifiedBy>
  <cp:revision>4</cp:revision>
  <cp:lastPrinted>2023-03-17T01:10:47Z</cp:lastPrinted>
</cp:coreProperties>
</file>